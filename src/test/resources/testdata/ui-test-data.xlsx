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Local Reetrak Automation\QA-Reetrak-Automation\src\test\resources\testdata\"/>
    </mc:Choice>
  </mc:AlternateContent>
  <xr:revisionPtr revIDLastSave="0" documentId="13_ncr:1_{DA038A63-2D33-4E98-B49B-40040D20D593}" xr6:coauthVersionLast="47" xr6:coauthVersionMax="47" xr10:uidLastSave="{00000000-0000-0000-0000-000000000000}"/>
  <bookViews>
    <workbookView xWindow="-120" yWindow="-120" windowWidth="20730" windowHeight="11040" tabRatio="849" firstSheet="3" activeTab="11" xr2:uid="{00000000-000D-0000-FFFF-FFFF00000000}"/>
  </bookViews>
  <sheets>
    <sheet name="ReetrakAdmin" sheetId="27" r:id="rId1"/>
    <sheet name="LoginPage" sheetId="1" r:id="rId2"/>
    <sheet name="CompanyMaster" sheetId="2" r:id="rId3"/>
    <sheet name="PlantMaster" sheetId="3" r:id="rId4"/>
    <sheet name="RoleMaster" sheetId="4" r:id="rId5"/>
    <sheet name="UserMaster" sheetId="5" r:id="rId6"/>
    <sheet name="HierarchyMaster" sheetId="11" r:id="rId7"/>
    <sheet name="LineMaster" sheetId="6" r:id="rId8"/>
    <sheet name="SSCCPool" sheetId="7" r:id="rId9"/>
    <sheet name="SerialManager" sheetId="14" r:id="rId10"/>
    <sheet name="ProductMaster" sheetId="28" r:id="rId11"/>
    <sheet name="POMaster" sheetId="10" r:id="rId12"/>
    <sheet name="ManageDisposition" sheetId="12" r:id="rId13"/>
    <sheet name="ExportBatchStatus" sheetId="16" r:id="rId14"/>
    <sheet name="ExportBatchDetails" sheetId="17" r:id="rId15"/>
    <sheet name="ManageEvents" sheetId="18" r:id="rId16"/>
    <sheet name="RelationshipReport" sheetId="19" r:id="rId17"/>
    <sheet name="Deaggregation" sheetId="23" r:id="rId18"/>
    <sheet name="Reaggregation" sheetId="24" r:id="rId19"/>
    <sheet name="ExportAndDelete" sheetId="26" r:id="rId20"/>
    <sheet name="BatchRequest" sheetId="13" r:id="rId21"/>
    <sheet name="Inbox" sheetId="25" r:id="rId22"/>
  </sheets>
  <definedNames>
    <definedName name="_xlnm._FilterDatabase" localSheetId="10" hidden="1">ProductMaster!$A$1:$CM$26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M26" i="28" l="1"/>
  <c r="CM25" i="28"/>
  <c r="CM24" i="28"/>
  <c r="CM21" i="28"/>
  <c r="CM23" i="28"/>
  <c r="CM22" i="28"/>
  <c r="CM19" i="28"/>
  <c r="CM20" i="28"/>
  <c r="CM18" i="28"/>
  <c r="CM17" i="28"/>
  <c r="CM16" i="28"/>
  <c r="CM15" i="28"/>
  <c r="CM14" i="28"/>
  <c r="CM12" i="28"/>
  <c r="CM9" i="28"/>
  <c r="CM8" i="28"/>
  <c r="CM5" i="28"/>
  <c r="CM7" i="28"/>
  <c r="CM6" i="28"/>
  <c r="CM13" i="28"/>
  <c r="CM11" i="28"/>
  <c r="CM10" i="28"/>
  <c r="K4" i="10"/>
  <c r="C4" i="10"/>
  <c r="K3" i="10"/>
  <c r="L14" i="7"/>
  <c r="L15" i="7"/>
  <c r="L16" i="7"/>
  <c r="L17" i="7"/>
  <c r="L18" i="7"/>
  <c r="L19" i="7"/>
  <c r="L20" i="7"/>
  <c r="L13" i="7"/>
  <c r="L2" i="26"/>
  <c r="L11" i="7"/>
  <c r="L10" i="7"/>
  <c r="L9" i="7"/>
  <c r="H8" i="7"/>
  <c r="G8" i="7"/>
  <c r="F8" i="7"/>
  <c r="E6" i="7"/>
  <c r="E7" i="7" s="1"/>
  <c r="D6" i="7"/>
  <c r="C6" i="7"/>
  <c r="C7" i="7" s="1"/>
  <c r="L5" i="7"/>
  <c r="E5" i="7"/>
  <c r="D5" i="7"/>
  <c r="C5" i="7"/>
  <c r="L4" i="7"/>
  <c r="K16" i="11"/>
  <c r="C15" i="11"/>
  <c r="K14" i="11"/>
  <c r="K13" i="11"/>
  <c r="J13" i="11"/>
  <c r="C13" i="11"/>
  <c r="K12" i="11"/>
  <c r="J12" i="11"/>
  <c r="C12" i="11"/>
  <c r="K11" i="11"/>
  <c r="C11" i="11"/>
  <c r="C10" i="11"/>
  <c r="K9" i="11"/>
  <c r="K8" i="11"/>
  <c r="K7" i="11"/>
  <c r="K6" i="11"/>
  <c r="K5" i="11"/>
  <c r="M14" i="5"/>
  <c r="L14" i="5"/>
  <c r="M13" i="5"/>
  <c r="L13" i="5"/>
  <c r="M12" i="5"/>
  <c r="M11" i="5"/>
  <c r="M10" i="5"/>
  <c r="M9" i="5"/>
  <c r="L9" i="5"/>
  <c r="H11" i="4"/>
  <c r="H10" i="4"/>
  <c r="G10" i="4"/>
  <c r="H9" i="4"/>
  <c r="G9" i="4"/>
  <c r="H7" i="4"/>
  <c r="C7" i="4"/>
  <c r="D6" i="4"/>
  <c r="H5" i="4"/>
  <c r="H4" i="4"/>
  <c r="T13" i="3"/>
  <c r="S13" i="3"/>
  <c r="T12" i="3"/>
  <c r="T11" i="3"/>
  <c r="S11" i="3"/>
  <c r="E3" i="1"/>
  <c r="L19" i="6"/>
  <c r="L18" i="6"/>
  <c r="L17" i="6"/>
  <c r="L16" i="6"/>
  <c r="L15" i="6"/>
  <c r="L14" i="6"/>
  <c r="L13" i="6"/>
  <c r="L12" i="6"/>
  <c r="L11" i="6"/>
  <c r="L9" i="6"/>
  <c r="K9" i="6"/>
  <c r="L8" i="6"/>
  <c r="K8" i="6"/>
  <c r="L7" i="6"/>
  <c r="L6" i="6"/>
  <c r="L4" i="6"/>
  <c r="K6" i="7" l="1"/>
  <c r="L6" i="7"/>
  <c r="D7" i="7"/>
  <c r="L7" i="7" l="1"/>
  <c r="K7" i="7"/>
</calcChain>
</file>

<file path=xl/sharedStrings.xml><?xml version="1.0" encoding="utf-8"?>
<sst xmlns="http://schemas.openxmlformats.org/spreadsheetml/2006/main" count="2567" uniqueCount="956">
  <si>
    <t>username</t>
  </si>
  <si>
    <t>password</t>
  </si>
  <si>
    <t/>
  </si>
  <si>
    <t>Please enter valid user Name</t>
  </si>
  <si>
    <t>Please enter valid Password</t>
  </si>
  <si>
    <t>InvalidUser</t>
  </si>
  <si>
    <t>Tadmin</t>
  </si>
  <si>
    <t>InvalidPassword</t>
  </si>
  <si>
    <t>LOG IN</t>
  </si>
  <si>
    <t>Dashboard</t>
  </si>
  <si>
    <t>Please Check Entered User Account Is Locked</t>
  </si>
  <si>
    <t>Entered User Is De-Active</t>
  </si>
  <si>
    <t>url</t>
  </si>
  <si>
    <t>address1</t>
  </si>
  <si>
    <t>address2</t>
  </si>
  <si>
    <t>city</t>
  </si>
  <si>
    <t>state</t>
  </si>
  <si>
    <t>country</t>
  </si>
  <si>
    <t>action</t>
  </si>
  <si>
    <t>Save</t>
  </si>
  <si>
    <t>Company details Successfully updated.</t>
  </si>
  <si>
    <t>Ahmedabad</t>
  </si>
  <si>
    <t>www.Jeksonvision.com</t>
  </si>
  <si>
    <t>304, Sarkhej-Bavla Highway</t>
  </si>
  <si>
    <t>Changodar Road</t>
  </si>
  <si>
    <t>Gujarat</t>
  </si>
  <si>
    <t>India</t>
  </si>
  <si>
    <t>Plant Master</t>
  </si>
  <si>
    <t>Add Plant Information</t>
  </si>
  <si>
    <t>JEKSON</t>
  </si>
  <si>
    <t>LIC123</t>
  </si>
  <si>
    <t>LICA123</t>
  </si>
  <si>
    <t>1111111111111</t>
  </si>
  <si>
    <t>plantname</t>
  </si>
  <si>
    <t>licenseNumber</t>
  </si>
  <si>
    <t>licenseagency</t>
  </si>
  <si>
    <t>licStateOrRegion</t>
  </si>
  <si>
    <t>glnprefix</t>
  </si>
  <si>
    <t>glnnumber</t>
  </si>
  <si>
    <t>pincode</t>
  </si>
  <si>
    <t>phone</t>
  </si>
  <si>
    <t>email</t>
  </si>
  <si>
    <t>plantcode</t>
  </si>
  <si>
    <t>Plant Added Successfully</t>
  </si>
  <si>
    <t>Update Plant Information</t>
  </si>
  <si>
    <t>Jekson Vision</t>
  </si>
  <si>
    <t>LIC999</t>
  </si>
  <si>
    <t>LICA999</t>
  </si>
  <si>
    <t>Maharastra</t>
  </si>
  <si>
    <t>9999999999999</t>
  </si>
  <si>
    <t>Address1</t>
  </si>
  <si>
    <t>Address2</t>
  </si>
  <si>
    <t>Pune</t>
  </si>
  <si>
    <t>MH</t>
  </si>
  <si>
    <t>qa.jek@gmail.com</t>
  </si>
  <si>
    <t>Plant Updated Successfully</t>
  </si>
  <si>
    <t>QA.Jekson@gmail.com</t>
  </si>
  <si>
    <t>Active</t>
  </si>
  <si>
    <t>Deactive</t>
  </si>
  <si>
    <t>Role Master</t>
  </si>
  <si>
    <t>Test Case</t>
  </si>
  <si>
    <t>Add New Role</t>
  </si>
  <si>
    <t>Role Name</t>
  </si>
  <si>
    <t>Hierarchy Order</t>
  </si>
  <si>
    <t>Level 1 (Plant Manager)</t>
  </si>
  <si>
    <t>Level 3 (QA Manager)</t>
  </si>
  <si>
    <t>Expected Message or Title</t>
  </si>
  <si>
    <t>Edit Role Details</t>
  </si>
  <si>
    <t>Please assign minimum one rights.</t>
  </si>
  <si>
    <t>Existing Role Name</t>
  </si>
  <si>
    <t>Role Status</t>
  </si>
  <si>
    <t>Test Description</t>
  </si>
  <si>
    <t>Role-Master_TC_01</t>
  </si>
  <si>
    <t>Role-Master_TC_02</t>
  </si>
  <si>
    <t>Role-Master_TC_03</t>
  </si>
  <si>
    <t>Role-Master_TC_04</t>
  </si>
  <si>
    <t>Role-Master_TC_05</t>
  </si>
  <si>
    <t>Role-Master_TC_06</t>
  </si>
  <si>
    <t>Role-Master_TC_07</t>
  </si>
  <si>
    <t>Role-Master_TC_08</t>
  </si>
  <si>
    <t>Role-Master_TC_09</t>
  </si>
  <si>
    <t>Plant-Master_TC_01</t>
  </si>
  <si>
    <t>Plant-Master_TC_02</t>
  </si>
  <si>
    <t>Plant-Master_TC_03</t>
  </si>
  <si>
    <t>Plant-Master_TC_04</t>
  </si>
  <si>
    <t>Plant-Master_TC_05</t>
  </si>
  <si>
    <t>Plant-Master_TC_06</t>
  </si>
  <si>
    <t>Plant-Master_TC_07</t>
  </si>
  <si>
    <t>Plant-Master_TC_08</t>
  </si>
  <si>
    <t>Plant-Master_TC_09</t>
  </si>
  <si>
    <t>Plant-Master_TC_10</t>
  </si>
  <si>
    <t>Confirmation Message</t>
  </si>
  <si>
    <t>Plant Status</t>
  </si>
  <si>
    <t>Block no 5-6, Abhishree Corporate Park</t>
  </si>
  <si>
    <t>Ambli - Bopal Rd</t>
  </si>
  <si>
    <t>Temp Plant</t>
  </si>
  <si>
    <t>Plant-Master_TC_11</t>
  </si>
  <si>
    <t>Plant-Master_TC_12</t>
  </si>
  <si>
    <t>Plant Code field is disabled</t>
  </si>
  <si>
    <t>Save button is disabled</t>
  </si>
  <si>
    <t>Plant-Master_TC_13</t>
  </si>
  <si>
    <t>Page Refresh Successfully</t>
  </si>
  <si>
    <t>Role-Master_TC_10</t>
  </si>
  <si>
    <t>User-Master_TC_01</t>
  </si>
  <si>
    <t>User Master</t>
  </si>
  <si>
    <t>User-Master_TC_02</t>
  </si>
  <si>
    <t>Add New User</t>
  </si>
  <si>
    <t>User Name</t>
  </si>
  <si>
    <t>User Status</t>
  </si>
  <si>
    <t>Button Status</t>
  </si>
  <si>
    <t>Disabled</t>
  </si>
  <si>
    <t>User-Master_TC_03</t>
  </si>
  <si>
    <t>Padmin</t>
  </si>
  <si>
    <t>First Name</t>
  </si>
  <si>
    <t>Last Name</t>
  </si>
  <si>
    <t>Role</t>
  </si>
  <si>
    <t>Designation</t>
  </si>
  <si>
    <t>Email</t>
  </si>
  <si>
    <t>Phone</t>
  </si>
  <si>
    <t>Plant Head</t>
  </si>
  <si>
    <t>Tushar</t>
  </si>
  <si>
    <t>Panchal</t>
  </si>
  <si>
    <t>User-Master_TC_04</t>
  </si>
  <si>
    <t>Edit User Management Details</t>
  </si>
  <si>
    <t>User-Master_TC_05</t>
  </si>
  <si>
    <t>User-Master_TC_06</t>
  </si>
  <si>
    <t>Are you sure want to regenerate key?</t>
  </si>
  <si>
    <t>User-Master_TC_07</t>
  </si>
  <si>
    <t>User currently loggedin from ReeClient</t>
  </si>
  <si>
    <t>User-Master_TC_08</t>
  </si>
  <si>
    <t>User-Master_TC_09</t>
  </si>
  <si>
    <t>User-Master_TC_10</t>
  </si>
  <si>
    <t>Fname</t>
  </si>
  <si>
    <t>Lname</t>
  </si>
  <si>
    <t>Temp Head</t>
  </si>
  <si>
    <t>qa.jek@gmail.co.in</t>
  </si>
  <si>
    <t>User-Master_TC_11</t>
  </si>
  <si>
    <t>User-Master_TC_12</t>
  </si>
  <si>
    <t>User-Master_TC_13</t>
  </si>
  <si>
    <t>Line-Master_TC_01</t>
  </si>
  <si>
    <t>Line Master</t>
  </si>
  <si>
    <t>Line-Master_TC_02</t>
  </si>
  <si>
    <t>Add Line Information</t>
  </si>
  <si>
    <t>Level 2</t>
  </si>
  <si>
    <t>Level 3</t>
  </si>
  <si>
    <t>Level 4</t>
  </si>
  <si>
    <t>Level 6</t>
  </si>
  <si>
    <t>Line-Master_TC_03</t>
  </si>
  <si>
    <t>Line_2346</t>
  </si>
  <si>
    <t>192.168.2.1</t>
  </si>
  <si>
    <t>192.168.2.2</t>
  </si>
  <si>
    <t>192.168.2.3</t>
  </si>
  <si>
    <t>Line-Master_TC_04</t>
  </si>
  <si>
    <t>192.168.2.105</t>
  </si>
  <si>
    <t>192.168.2.11</t>
  </si>
  <si>
    <t>192.168.2.22</t>
  </si>
  <si>
    <t>192.168.2.33</t>
  </si>
  <si>
    <t>Line-Master_TC_05</t>
  </si>
  <si>
    <t>Edit Line Information</t>
  </si>
  <si>
    <t>Test_2346</t>
  </si>
  <si>
    <t>192.168.2.44</t>
  </si>
  <si>
    <t>192.168.2.4</t>
  </si>
  <si>
    <t>Line-Master_TC_06</t>
  </si>
  <si>
    <t>New Line Name</t>
  </si>
  <si>
    <t>Existing Line Name</t>
  </si>
  <si>
    <t>Line-Master_TC_07</t>
  </si>
  <si>
    <t>Line-Master_TC_08</t>
  </si>
  <si>
    <t>SSCC-Pool_TC_01</t>
  </si>
  <si>
    <t>SSCC Pool</t>
  </si>
  <si>
    <t>SSCC-Pool_TC_02</t>
  </si>
  <si>
    <t>Add SSCC Pool Details</t>
  </si>
  <si>
    <t>Serial Manager</t>
  </si>
  <si>
    <t>Ext Digit</t>
  </si>
  <si>
    <t>Prefix</t>
  </si>
  <si>
    <t>Required</t>
  </si>
  <si>
    <t>Threshold</t>
  </si>
  <si>
    <t>SSCC-Pool_TC_03</t>
  </si>
  <si>
    <t>Verification of Update existing SSCC Pool functionality.</t>
  </si>
  <si>
    <t>Verification of Add new SSCC Pool functionality.</t>
  </si>
  <si>
    <t>SSCC-Pool_TC_04</t>
  </si>
  <si>
    <t>Existing Prefix</t>
  </si>
  <si>
    <t>Existing Ext Digit</t>
  </si>
  <si>
    <t>Existing Serial Manager</t>
  </si>
  <si>
    <t>SSCC-Pool_TC_05</t>
  </si>
  <si>
    <t>Verification of Deactivate SSCC Pool functionality.</t>
  </si>
  <si>
    <t>SSCC-Pool_TC_06</t>
  </si>
  <si>
    <t>Verification of Activate SSCC Pool functionality.</t>
  </si>
  <si>
    <t>Duplicate prefix and extention digit combination does not allowed.</t>
  </si>
  <si>
    <t>SSCC-Pool_TC_07</t>
  </si>
  <si>
    <t>SSCC-Pool_TC_08</t>
  </si>
  <si>
    <t>Company-Master_TC_01</t>
  </si>
  <si>
    <t>Company-Master_TC_02</t>
  </si>
  <si>
    <t>Company Master</t>
  </si>
  <si>
    <t>Edit Company Details</t>
  </si>
  <si>
    <t>Company-Master_TC_03</t>
  </si>
  <si>
    <t>LogoPath</t>
  </si>
  <si>
    <t>Pin Code</t>
  </si>
  <si>
    <t>City</t>
  </si>
  <si>
    <t>State</t>
  </si>
  <si>
    <t>Country</t>
  </si>
  <si>
    <t>Verification of Add New Plant functionality.</t>
  </si>
  <si>
    <t>Verification of Update Plant functionality.</t>
  </si>
  <si>
    <t>Verification of validation when attempting to edit a deactivated plant.</t>
  </si>
  <si>
    <t>Verification of CANCEL button functionality.</t>
  </si>
  <si>
    <t>Verification of REFRESH button functionality.</t>
  </si>
  <si>
    <t>Verification of the 'Same as Company Master' checkbox functionality.</t>
  </si>
  <si>
    <t>Verification of Plant Master page opening successfully.</t>
  </si>
  <si>
    <t>Verification of ADD button functionality.</t>
  </si>
  <si>
    <t>Verification of SAVE button functionality without entering plant details.</t>
  </si>
  <si>
    <t>Verification of the 'Plant Code' field.</t>
  </si>
  <si>
    <t>Verification of EDIT button functionality.</t>
  </si>
  <si>
    <t>Verification of Plant deactivation functionality.</t>
  </si>
  <si>
    <t>Verification of Plant activation functionality.</t>
  </si>
  <si>
    <t>Verification of Update Company Details functionality.</t>
  </si>
  <si>
    <t>Verification of Company Master page opening successfully.</t>
  </si>
  <si>
    <t>Verification of Role Master page opening successfully.</t>
  </si>
  <si>
    <t>Verification of Add a new role functionality by Assigning individual rights.</t>
  </si>
  <si>
    <t>Verification of Updating a role functionality by assigning and unassigning individual rights.</t>
  </si>
  <si>
    <t>Verification of Validation when attempting to update a role with invalid or incomplete data.</t>
  </si>
  <si>
    <t>Verification of Role Activation functionality.</t>
  </si>
  <si>
    <t>Verification of Role Deactivation functionality.</t>
  </si>
  <si>
    <t>Verification of User Master page opening successfully.</t>
  </si>
  <si>
    <t>Verification of Add New User functionality.</t>
  </si>
  <si>
    <t>Verification of the 'User Name' field.</t>
  </si>
  <si>
    <t>Verification of 'Regenerate Key' functionality.</t>
  </si>
  <si>
    <t>Verification of 'Forced Logout' functionality.</t>
  </si>
  <si>
    <t>Verification of 'Change Password' functionality.</t>
  </si>
  <si>
    <t>Verification of Updating an existing user functionality.</t>
  </si>
  <si>
    <t>Verification of User Deactivation functionality.</t>
  </si>
  <si>
    <t>Verification of User Activation functionality.</t>
  </si>
  <si>
    <t>Verification of validation when the user is already logged in and an attempt to re-generate the token for the same user.</t>
  </si>
  <si>
    <t>Verification of validation when attempting to add a duplicate user.</t>
  </si>
  <si>
    <t>Verification of Line Master page opening successfully.</t>
  </si>
  <si>
    <t>Verification of Add New Line functionality.</t>
  </si>
  <si>
    <t>Verification of Update Line functionality.</t>
  </si>
  <si>
    <t>Verification of validation when adding duplicate line.</t>
  </si>
  <si>
    <t>Verification of Line Deactivation functionality.</t>
  </si>
  <si>
    <t>Verification of Line Activation functionality.</t>
  </si>
  <si>
    <t>Verification of validation when adding duplicate SSCC Pool.</t>
  </si>
  <si>
    <t>Line-Master_TC_09</t>
  </si>
  <si>
    <t>User-Master_TC_14</t>
  </si>
  <si>
    <t>Company-Master_TC_04</t>
  </si>
  <si>
    <t>Verification of SSCC Pool page opening successfully.</t>
  </si>
  <si>
    <t>SSCC-Pool_TC_09</t>
  </si>
  <si>
    <t>Verification of Add 2nd SSCC Pool functionality.</t>
  </si>
  <si>
    <t>Verification of Add 3rd SSCC Pool functionality.</t>
  </si>
  <si>
    <t>Verification of Add 4th SSCC Pool functionality.</t>
  </si>
  <si>
    <t>SSCC-Pool_TC_10</t>
  </si>
  <si>
    <t>SSCC-Pool_TC_11</t>
  </si>
  <si>
    <t>Plant Admin</t>
  </si>
  <si>
    <t>Temp QA Role</t>
  </si>
  <si>
    <t>Level 2 (Operator)</t>
  </si>
  <si>
    <t>Operator Admin</t>
  </si>
  <si>
    <t>Verification of Add a new 'QA Admin' role functionality by 'Assigned All' button.</t>
  </si>
  <si>
    <t>Verification of Add a new 'Plant Admin' role functionality by 'Assigned All' button.</t>
  </si>
  <si>
    <t>Role-Master_TC_11</t>
  </si>
  <si>
    <t>QA Admin</t>
  </si>
  <si>
    <t>User-Master_TC_15</t>
  </si>
  <si>
    <t>Chetan</t>
  </si>
  <si>
    <t>Osti</t>
  </si>
  <si>
    <t>QA Head</t>
  </si>
  <si>
    <t>Verification of Add New QA User functionality.</t>
  </si>
  <si>
    <t>Qadmin</t>
  </si>
  <si>
    <t>User-Master_TC_16</t>
  </si>
  <si>
    <t>Verification of Add New End-User User functionality.</t>
  </si>
  <si>
    <t>Oadmin</t>
  </si>
  <si>
    <t>Ravi</t>
  </si>
  <si>
    <t>Darji</t>
  </si>
  <si>
    <t>OperatorHead</t>
  </si>
  <si>
    <t>Existing Product Name</t>
  </si>
  <si>
    <t>productname</t>
  </si>
  <si>
    <t>productcode</t>
  </si>
  <si>
    <t>customercode</t>
  </si>
  <si>
    <t>serialmanager</t>
  </si>
  <si>
    <t>description</t>
  </si>
  <si>
    <t>compliance</t>
  </si>
  <si>
    <t>unitprice</t>
  </si>
  <si>
    <t>packagesize</t>
  </si>
  <si>
    <t>packagingtype</t>
  </si>
  <si>
    <t>tradetype</t>
  </si>
  <si>
    <t>nooflevels</t>
  </si>
  <si>
    <t>level1drop</t>
  </si>
  <si>
    <t>level1trade</t>
  </si>
  <si>
    <t>level1packsize</t>
  </si>
  <si>
    <t>level1packaginglevel</t>
  </si>
  <si>
    <t>level1prefix</t>
  </si>
  <si>
    <t>level1required</t>
  </si>
  <si>
    <t>level1threshold</t>
  </si>
  <si>
    <t>level1prn</t>
  </si>
  <si>
    <t>level1image</t>
  </si>
  <si>
    <t>level2drop</t>
  </si>
  <si>
    <t>level2trade</t>
  </si>
  <si>
    <t>level2packsize</t>
  </si>
  <si>
    <t>level2packaginglevel</t>
  </si>
  <si>
    <t>level2prefix</t>
  </si>
  <si>
    <t>level2required</t>
  </si>
  <si>
    <t>level2threshold</t>
  </si>
  <si>
    <t>level2prn</t>
  </si>
  <si>
    <t>Product-Master_TC_01</t>
  </si>
  <si>
    <t>Product-Master_TC_02</t>
  </si>
  <si>
    <t>Product-Master_TC_03</t>
  </si>
  <si>
    <t>Product-Master_TC_04</t>
  </si>
  <si>
    <t>NA</t>
  </si>
  <si>
    <t>Serialization with aggregation</t>
  </si>
  <si>
    <t>GTIN</t>
  </si>
  <si>
    <t>Primary</t>
  </si>
  <si>
    <t>1</t>
  </si>
  <si>
    <t>EA</t>
  </si>
  <si>
    <t>Secondary</t>
  </si>
  <si>
    <t>3</t>
  </si>
  <si>
    <t>CA</t>
  </si>
  <si>
    <t>Product-Master_TC_05</t>
  </si>
  <si>
    <t>Product-Master_TC_06</t>
  </si>
  <si>
    <t>Product-Master_TC_07</t>
  </si>
  <si>
    <t>Product-Master_TC_08</t>
  </si>
  <si>
    <t>PO Number</t>
  </si>
  <si>
    <t>Batch Number</t>
  </si>
  <si>
    <t>Batch Size</t>
  </si>
  <si>
    <t>Existing PO Number</t>
  </si>
  <si>
    <t>Expected Notification</t>
  </si>
  <si>
    <t>POMaster_TC_01</t>
  </si>
  <si>
    <t>POMaster_TC_02</t>
  </si>
  <si>
    <t>POMaster_TC_03</t>
  </si>
  <si>
    <t>INDIA</t>
  </si>
  <si>
    <t>10x2</t>
  </si>
  <si>
    <t>Line_12</t>
  </si>
  <si>
    <t>Level 1</t>
  </si>
  <si>
    <t>Level 5</t>
  </si>
  <si>
    <t>Line-Master_TC_10</t>
  </si>
  <si>
    <t>Verification of Add New Line functionality for 1-2 Level.</t>
  </si>
  <si>
    <t>Line_23</t>
  </si>
  <si>
    <t>Line_123</t>
  </si>
  <si>
    <t>Line_236</t>
  </si>
  <si>
    <t>Line_126</t>
  </si>
  <si>
    <t>Line_2</t>
  </si>
  <si>
    <t>Line_1236</t>
  </si>
  <si>
    <t>Verification of Add New Line functionality for 1-2-3 Level.</t>
  </si>
  <si>
    <t>Verification of Add New Line functionality for 1-2-6 Level.</t>
  </si>
  <si>
    <t>Verification of Add New Line functionality for 2 Level.</t>
  </si>
  <si>
    <t>Verification of Add New Line functionality for 2-3 Level.</t>
  </si>
  <si>
    <t>Verification of Add New Line functionality for 2-3-6 Level.</t>
  </si>
  <si>
    <t>Verification of Add New Line functionality for 1-2-3-6 Level.</t>
  </si>
  <si>
    <t>Line-Master_TC_11</t>
  </si>
  <si>
    <t>Line-Master_TC_12</t>
  </si>
  <si>
    <t>Line-Master_TC_13</t>
  </si>
  <si>
    <t>Line-Master_TC_14</t>
  </si>
  <si>
    <t>Line-Master_TC_15</t>
  </si>
  <si>
    <t>Line-Master_TC_16</t>
  </si>
  <si>
    <t>Hierarchy-Master_TC_01</t>
  </si>
  <si>
    <t>Hierarchy Master</t>
  </si>
  <si>
    <t>Hierarchy-Master_TC_02</t>
  </si>
  <si>
    <t>Add Hierarchy Information</t>
  </si>
  <si>
    <t>Hierarchy-Master_TC_03</t>
  </si>
  <si>
    <t>Verification of SAVE button functionality without entering hierarchy details.</t>
  </si>
  <si>
    <t>Verification of Hierarchy Master page opening successfully.</t>
  </si>
  <si>
    <t>Hierarchy Name</t>
  </si>
  <si>
    <t>Hierarchy For</t>
  </si>
  <si>
    <t>Hierarchy Type</t>
  </si>
  <si>
    <t>Creator</t>
  </si>
  <si>
    <t>Reviewer</t>
  </si>
  <si>
    <t>Approver</t>
  </si>
  <si>
    <t>Product</t>
  </si>
  <si>
    <t>Hierarchy-Master_TC_04</t>
  </si>
  <si>
    <t>Verification of Adding a new Role-Based Hierarchy for Products.</t>
  </si>
  <si>
    <t>Verification of Adding a new Role-Based Hierarchy for Batches.</t>
  </si>
  <si>
    <t>MANUFACTURER ADMIN</t>
  </si>
  <si>
    <t>Role Based</t>
  </si>
  <si>
    <t>Hierarchy-Master_TC_05</t>
  </si>
  <si>
    <t>Tushar Panchal(Tadmin)</t>
  </si>
  <si>
    <t>User Based</t>
  </si>
  <si>
    <t>Verification of Adding a new User-Based Hierarchy for Products.</t>
  </si>
  <si>
    <t>Hierarchy-Master_TC_06</t>
  </si>
  <si>
    <t>Verification of Adding a new User-Based Hierarchy for Batches.</t>
  </si>
  <si>
    <t>Hierarchy-Master_TC_07</t>
  </si>
  <si>
    <t>Batch Request</t>
  </si>
  <si>
    <t>Hierarchy-Master_TC_08</t>
  </si>
  <si>
    <t>Verification of validation when adding duplicate hierarchy.</t>
  </si>
  <si>
    <t>Hierarchy-Master_TC_09</t>
  </si>
  <si>
    <t>Edit Hierarchy Information</t>
  </si>
  <si>
    <t>Existing Hierarchy Name</t>
  </si>
  <si>
    <t>Tushar Panchal(Padmin)</t>
  </si>
  <si>
    <t>Chetan Osti(Qadmin)</t>
  </si>
  <si>
    <t>Ravi Darji(Oadmin)</t>
  </si>
  <si>
    <t>Verification of Update Hierarchy functionality.</t>
  </si>
  <si>
    <t>Hierarchy-Master_TC_10</t>
  </si>
  <si>
    <t>Hierarchy-Master_TC_11</t>
  </si>
  <si>
    <t>Hierarchy-Master_TC_12</t>
  </si>
  <si>
    <t>Verification of Hierarchy Deactivation functionality.</t>
  </si>
  <si>
    <t>Verification of Hierarchy Activation functionality.</t>
  </si>
  <si>
    <t>Temp For Product</t>
  </si>
  <si>
    <t>Temp For Batch</t>
  </si>
  <si>
    <t>Final For Product</t>
  </si>
  <si>
    <t>QA For Batch</t>
  </si>
  <si>
    <t>Hierarchy-Master_TC_13</t>
  </si>
  <si>
    <t>Hierarchy-Master_TC_14</t>
  </si>
  <si>
    <t>Verification of Reset OR Remove the Reviewer functionality.</t>
  </si>
  <si>
    <t>Page Refresh Successfully.</t>
  </si>
  <si>
    <t>Login-Logout_TC_01</t>
  </si>
  <si>
    <t>Login-Logout_TC_02</t>
  </si>
  <si>
    <t>Login-Logout_TC_03</t>
  </si>
  <si>
    <t>Login-Logout_TC_04</t>
  </si>
  <si>
    <t>Login-Logout_TC_05</t>
  </si>
  <si>
    <t>Login-Logout_TC_06</t>
  </si>
  <si>
    <t>Login-Logout_TC_07</t>
  </si>
  <si>
    <t>Expected Validation-1</t>
  </si>
  <si>
    <t>Expected Validation-2</t>
  </si>
  <si>
    <t>Verification of Login when username is invalid and password is valid.</t>
  </si>
  <si>
    <t>Verification of Login when username and password are blank.</t>
  </si>
  <si>
    <t>Verification of Login when username is valid and password is invalid.</t>
  </si>
  <si>
    <t>Verification of Login when username is valid and password is valid.</t>
  </si>
  <si>
    <t>Verification of user lock upon invalid password more than 3 times.</t>
  </si>
  <si>
    <t>User Lockout Attempts Count</t>
  </si>
  <si>
    <t>Incorrect password, Remaining attempt left: 2</t>
  </si>
  <si>
    <t>Login-Logout_TC_08</t>
  </si>
  <si>
    <t>Verification of Login when user is deactivated.</t>
  </si>
  <si>
    <t>Verification of Login when user is Locked.</t>
  </si>
  <si>
    <t>Verification of Logout functionality.</t>
  </si>
  <si>
    <t>Manage Disposition</t>
  </si>
  <si>
    <t>Expected PO Details Title</t>
  </si>
  <si>
    <t>Expected Batch Information Title</t>
  </si>
  <si>
    <t>Expected Batch Confirmation Title</t>
  </si>
  <si>
    <t>Expected Line Name</t>
  </si>
  <si>
    <t>Mode</t>
  </si>
  <si>
    <t>Line</t>
  </si>
  <si>
    <t>Remarks</t>
  </si>
  <si>
    <t>Batch Status</t>
  </si>
  <si>
    <t>Expected Batch Status</t>
  </si>
  <si>
    <t>Confirmation Message 1</t>
  </si>
  <si>
    <t>Extra Quantity</t>
  </si>
  <si>
    <t>BatchId</t>
  </si>
  <si>
    <t>BatchRequest_TC_01</t>
  </si>
  <si>
    <t>BatchRequest_TC_02</t>
  </si>
  <si>
    <t>Batch successfully loaded</t>
  </si>
  <si>
    <t>PO Details</t>
  </si>
  <si>
    <t>Batch Information</t>
  </si>
  <si>
    <t>Batch Confirmation</t>
  </si>
  <si>
    <t>BatchRequest_TC_03</t>
  </si>
  <si>
    <t>Batch successfully transferred.</t>
  </si>
  <si>
    <t>Transfer Batch Details</t>
  </si>
  <si>
    <t>Ready For Transfer</t>
  </si>
  <si>
    <t>BatchRequest_TC_04</t>
  </si>
  <si>
    <t>Running</t>
  </si>
  <si>
    <t>BatchRequest_TC_05</t>
  </si>
  <si>
    <t>Batch re-transfer operation can allow for mode : Online. Please, verify batch mode.</t>
  </si>
  <si>
    <t>On Line</t>
  </si>
  <si>
    <t>BatchRequest_TC_06</t>
  </si>
  <si>
    <t>Batch successfully re-transferred.</t>
  </si>
  <si>
    <t>BatchRequest_TC_07</t>
  </si>
  <si>
    <t>BatchRequest_TC_08</t>
  </si>
  <si>
    <t>You can not close this batch.</t>
  </si>
  <si>
    <t>Temporary Closed</t>
  </si>
  <si>
    <t>BatchRequest_TC_09</t>
  </si>
  <si>
    <t>BatchRequest_TC_10</t>
  </si>
  <si>
    <t>This field is required</t>
  </si>
  <si>
    <t>BatchRequest_TC_11</t>
  </si>
  <si>
    <t>Batch reopened successfully.</t>
  </si>
  <si>
    <t>BatchRequest_TC_12</t>
  </si>
  <si>
    <t>Batch updated successfully</t>
  </si>
  <si>
    <t>Re-Initiate for extra quantity</t>
  </si>
  <si>
    <t>Are you sure want to generate Random Number without SSCC S/N Manager: JEKSON for Batch: BNJUN0302 ?</t>
  </si>
  <si>
    <t>10</t>
  </si>
  <si>
    <t>BatchRequest_TC_14</t>
  </si>
  <si>
    <t>Batch permanently close successfully</t>
  </si>
  <si>
    <t>OK</t>
  </si>
  <si>
    <t>Name</t>
  </si>
  <si>
    <t>Serial Code Type</t>
  </si>
  <si>
    <t>Serial Code Length</t>
  </si>
  <si>
    <t>Serial Master</t>
  </si>
  <si>
    <t>SSCC Pool 1</t>
  </si>
  <si>
    <t>SSCC Pool 2</t>
  </si>
  <si>
    <t>Partial SSCC Pool 1</t>
  </si>
  <si>
    <t>Partial SSCC Pool 2</t>
  </si>
  <si>
    <t>Serial-Master_TC_01</t>
  </si>
  <si>
    <t>Verify that the Serial Manager menu opens successfully.</t>
  </si>
  <si>
    <t>Serial-Master_TC_02</t>
  </si>
  <si>
    <t>Verify the functionality of the Add Serial Manager button.</t>
  </si>
  <si>
    <t>Add Serial Manager Information</t>
  </si>
  <si>
    <t>Serial-Master_TC_03</t>
  </si>
  <si>
    <t>JEKSON 14</t>
  </si>
  <si>
    <t>Random Number</t>
  </si>
  <si>
    <t>Serial-Master_TC_04</t>
  </si>
  <si>
    <t>JEKSON 20</t>
  </si>
  <si>
    <t>Sequential Number</t>
  </si>
  <si>
    <t>Serial Manager : JEKSON 20 has Added successfully.</t>
  </si>
  <si>
    <t>Serial-Master_TC_05</t>
  </si>
  <si>
    <t>Verify the functionality of the Add Serial Manager with same Full and Partial</t>
  </si>
  <si>
    <t>JEKSON 15</t>
  </si>
  <si>
    <t>Serial Manager : JEKSON 15 has Added successfully.</t>
  </si>
  <si>
    <t>Serial-Master_TC_06</t>
  </si>
  <si>
    <t>Verify the functionality of the Edit User Button.</t>
  </si>
  <si>
    <t>Edit Serial Manager Information</t>
  </si>
  <si>
    <t>Serial-Master_TC_07</t>
  </si>
  <si>
    <t>Verify that the Serial code type and Serial Code length field is disabled</t>
  </si>
  <si>
    <t>Serial-Master_TC_08</t>
  </si>
  <si>
    <t>Verify the functionality of updating an existing SN</t>
  </si>
  <si>
    <t>Serial Manager : JEKSON 14 has updated successfully.</t>
  </si>
  <si>
    <t>Serial-Master_TC_09</t>
  </si>
  <si>
    <t>Verify the functionality of deactivating a SN Manager.</t>
  </si>
  <si>
    <t>Do you want to deactivate : JEKSON 20 ?</t>
  </si>
  <si>
    <t>Serial manager : JEKSON 20 has Deactivated successfully</t>
  </si>
  <si>
    <t>Serial-Master_TC_10</t>
  </si>
  <si>
    <t>Verify the functionality of activating a SN Manager.</t>
  </si>
  <si>
    <t>Do you want to activate : JEKSON 20 ?</t>
  </si>
  <si>
    <t>Serial manager : JEKSON 20 has Activated successfully</t>
  </si>
  <si>
    <t>Serial-Master_TC_11</t>
  </si>
  <si>
    <t>Verify the functionality of the Add duplicate Serial Manager.</t>
  </si>
  <si>
    <t>Serial Manager : JEKSON 14 is already exists on server</t>
  </si>
  <si>
    <t>Serial-Master_TC_12</t>
  </si>
  <si>
    <t>Verify the functionality of the Refresh Serial Manager</t>
  </si>
  <si>
    <t>1-8900123</t>
  </si>
  <si>
    <t>2-8900123</t>
  </si>
  <si>
    <t>1-5500123</t>
  </si>
  <si>
    <t>2-5500123</t>
  </si>
  <si>
    <t>Test Case Description</t>
  </si>
  <si>
    <t>Dashboard Title</t>
  </si>
  <si>
    <t>Batch</t>
  </si>
  <si>
    <t>Level</t>
  </si>
  <si>
    <t>NewStatus</t>
  </si>
  <si>
    <t>Confirm Button</t>
  </si>
  <si>
    <t>Accepted</t>
  </si>
  <si>
    <t>Sample</t>
  </si>
  <si>
    <t>Enable</t>
  </si>
  <si>
    <t>Code status changed successfully.</t>
  </si>
  <si>
    <t>Verify that the Code list module display in the Manage .</t>
  </si>
  <si>
    <t>Verify that to change the status from accepted to sample.</t>
  </si>
  <si>
    <t>Status</t>
  </si>
  <si>
    <t>Posting Status</t>
  </si>
  <si>
    <t>Expected Form Error</t>
  </si>
  <si>
    <t>ExportBatchDetails_TC_01</t>
  </si>
  <si>
    <t>Export Batch Detail</t>
  </si>
  <si>
    <t>ExportBatchDetails_TC_02</t>
  </si>
  <si>
    <t>ExportBatchDetails_TC_03</t>
  </si>
  <si>
    <t>Unposted</t>
  </si>
  <si>
    <t>ExportBatchDetails_TC_04</t>
  </si>
  <si>
    <t>ExportBatchDetails_TC_05</t>
  </si>
  <si>
    <t>success</t>
  </si>
  <si>
    <t>ExportBatchDetails_TC_06</t>
  </si>
  <si>
    <t>no data found</t>
  </si>
  <si>
    <t>From Date</t>
  </si>
  <si>
    <t>To Date</t>
  </si>
  <si>
    <t>REESOURCE</t>
  </si>
  <si>
    <t>Permanent Close</t>
  </si>
  <si>
    <t>Export Batch Details : No Data Found to Post for Batch :</t>
  </si>
  <si>
    <t>Posted</t>
  </si>
  <si>
    <t>Generated Type</t>
  </si>
  <si>
    <t>Export Format</t>
  </si>
  <si>
    <t>ManageEvents_TC_01</t>
  </si>
  <si>
    <t>Manage Events</t>
  </si>
  <si>
    <t>ManageEvents_TC_02</t>
  </si>
  <si>
    <t>ManageEvents_TC_03</t>
  </si>
  <si>
    <t>Entire Batch</t>
  </si>
  <si>
    <t>Post Manage Events test</t>
  </si>
  <si>
    <t>successfully</t>
  </si>
  <si>
    <t>ManageEvents_TC_04</t>
  </si>
  <si>
    <t>Event</t>
  </si>
  <si>
    <t>ManageEvents_TC_05</t>
  </si>
  <si>
    <t>Manual Batch</t>
  </si>
  <si>
    <t>Post Manage Events TC5 test</t>
  </si>
  <si>
    <t>AGGREGATION</t>
  </si>
  <si>
    <t>Batch Level</t>
  </si>
  <si>
    <t>Code</t>
  </si>
  <si>
    <t>Salable Selection</t>
  </si>
  <si>
    <t>RelationshipReport_TC_01</t>
  </si>
  <si>
    <t>RelationshipReport_TC_02</t>
  </si>
  <si>
    <t>RelationshipReport_TC_03</t>
  </si>
  <si>
    <t>With Salable</t>
  </si>
  <si>
    <t>Scan Code</t>
  </si>
  <si>
    <t>Repacking</t>
  </si>
  <si>
    <t>Success</t>
  </si>
  <si>
    <t>Deaggregation_TC_01</t>
  </si>
  <si>
    <t>Deaggregation_TC_02</t>
  </si>
  <si>
    <t>Reaggregation_TC_01</t>
  </si>
  <si>
    <t>Reaggregation_TC_02</t>
  </si>
  <si>
    <t>Request Name</t>
  </si>
  <si>
    <t>Inbox_TC_01</t>
  </si>
  <si>
    <t>Approve Batch</t>
  </si>
  <si>
    <t>OffLine</t>
  </si>
  <si>
    <t>Batch approved successfully.</t>
  </si>
  <si>
    <t xml:space="preserve">Transfer batch : </t>
  </si>
  <si>
    <t>Inbox_TC_02</t>
  </si>
  <si>
    <t>Approve Product</t>
  </si>
  <si>
    <t>Product approved successfully.</t>
  </si>
  <si>
    <t>Final For Batch</t>
  </si>
  <si>
    <t>Hierarchy-Master_TC_15</t>
  </si>
  <si>
    <t>Export-Delete_TC_1</t>
  </si>
  <si>
    <t>Verification of EXPORT SSCC Codes functionality.</t>
  </si>
  <si>
    <t>Export-Delete_TC_2</t>
  </si>
  <si>
    <t>Verification of DELETE SSCC Codes functionality.</t>
  </si>
  <si>
    <t>Are you sure you want to delete serial codes ?</t>
  </si>
  <si>
    <t>Data Deleted Successfully</t>
  </si>
  <si>
    <t>CurrentStatus</t>
  </si>
  <si>
    <t>MD_TC_01</t>
  </si>
  <si>
    <t>MD_TC_02</t>
  </si>
  <si>
    <t>Code List</t>
  </si>
  <si>
    <t>MD_TC_03</t>
  </si>
  <si>
    <t>MD_TC_04</t>
  </si>
  <si>
    <t>Verify that to change the status from accepted to reject.</t>
  </si>
  <si>
    <t>Rejected</t>
  </si>
  <si>
    <t>MD_TC_05</t>
  </si>
  <si>
    <t>Veirfy that to change the status from accepted to destroy</t>
  </si>
  <si>
    <t>Destroy</t>
  </si>
  <si>
    <t>MD_TC_06</t>
  </si>
  <si>
    <t>Verify that to change the status from sample to sample destroy</t>
  </si>
  <si>
    <t>Destroy Sample</t>
  </si>
  <si>
    <t>MD_TC_07</t>
  </si>
  <si>
    <t>Disable</t>
  </si>
  <si>
    <t>Selected</t>
  </si>
  <si>
    <t>MD_TC_08</t>
  </si>
  <si>
    <t>Code Matched</t>
  </si>
  <si>
    <t>MD_TC_09</t>
  </si>
  <si>
    <t>Line-Master_TC_17</t>
  </si>
  <si>
    <t>Line-Master_TC_18</t>
  </si>
  <si>
    <t>Verification of Add New Line functionality for 3 Level.</t>
  </si>
  <si>
    <t>Line_3</t>
  </si>
  <si>
    <t>level3trade</t>
  </si>
  <si>
    <t>level3packsize</t>
  </si>
  <si>
    <t>level3packaginglevel</t>
  </si>
  <si>
    <t>level3prefix</t>
  </si>
  <si>
    <t>level3required</t>
  </si>
  <si>
    <t>level3threshold</t>
  </si>
  <si>
    <t>level3prn</t>
  </si>
  <si>
    <t>level3image</t>
  </si>
  <si>
    <t>level4drop</t>
  </si>
  <si>
    <t>level4trade</t>
  </si>
  <si>
    <t>level4packsize</t>
  </si>
  <si>
    <t>level4packaginglevel</t>
  </si>
  <si>
    <t>level4prefix</t>
  </si>
  <si>
    <t>level4prn</t>
  </si>
  <si>
    <t>level4image</t>
  </si>
  <si>
    <t>Product-Master_TC_09</t>
  </si>
  <si>
    <t>Tertiary</t>
  </si>
  <si>
    <t>Product-Master_TC_10</t>
  </si>
  <si>
    <t>PL</t>
  </si>
  <si>
    <t>Pallet</t>
  </si>
  <si>
    <t>Serialization</t>
  </si>
  <si>
    <t>level2image</t>
  </si>
  <si>
    <t>barcodedate</t>
  </si>
  <si>
    <t>ocrexpdate</t>
  </si>
  <si>
    <t>ocrmfgdate</t>
  </si>
  <si>
    <t>Product Master</t>
  </si>
  <si>
    <t>yyMMdd</t>
  </si>
  <si>
    <t>MM/yyyy</t>
  </si>
  <si>
    <t>MM-dd-yyyy</t>
  </si>
  <si>
    <t>productformtype</t>
  </si>
  <si>
    <t>Bottle</t>
  </si>
  <si>
    <t>Fourth</t>
  </si>
  <si>
    <t>CS</t>
  </si>
  <si>
    <t>level3drop</t>
  </si>
  <si>
    <t>level2ssccpool</t>
  </si>
  <si>
    <t>level3ssccpool</t>
  </si>
  <si>
    <t>level4ssccpool</t>
  </si>
  <si>
    <t>level4threshold</t>
  </si>
  <si>
    <t>Verification of Add New Line functionality for 2-3-4 Level.</t>
  </si>
  <si>
    <t>Line_234</t>
  </si>
  <si>
    <t>LicenseKey/Phone</t>
  </si>
  <si>
    <t>Name/Username</t>
  </si>
  <si>
    <t>Prefix/FirstName</t>
  </si>
  <si>
    <t>SN Length/LastName</t>
  </si>
  <si>
    <t>URL/Designation</t>
  </si>
  <si>
    <t>LogoPath/Email</t>
  </si>
  <si>
    <t>ReetrakAdmin_TC_01</t>
  </si>
  <si>
    <t>Verification of Add Company Details functionality.</t>
  </si>
  <si>
    <t>www.Jeksonvision.in</t>
  </si>
  <si>
    <t>ADD-1</t>
  </si>
  <si>
    <t>ADD-2</t>
  </si>
  <si>
    <t>ABD</t>
  </si>
  <si>
    <t>GUJ</t>
  </si>
  <si>
    <t>IN</t>
  </si>
  <si>
    <t>Company details has added successfully.</t>
  </si>
  <si>
    <t>ReetrakAdmin_TC_02</t>
  </si>
  <si>
    <t>Verification of Add License Details functionality.</t>
  </si>
  <si>
    <t>LicenseKey registration done and configuration applied successfully.</t>
  </si>
  <si>
    <t>ReetrakAdmin_TC_03</t>
  </si>
  <si>
    <t>Verification of Server Restart functionality.</t>
  </si>
  <si>
    <t>ReetrakAdmin_TC_04</t>
  </si>
  <si>
    <t>Verification of Update Role functionality.</t>
  </si>
  <si>
    <t>Role : MANUFACTURER ADMIN has updated successfully.</t>
  </si>
  <si>
    <t>ReetrakAdmin_TC_05</t>
  </si>
  <si>
    <t>Verification of Add User-1 functionality.</t>
  </si>
  <si>
    <t>MFG Admin</t>
  </si>
  <si>
    <t>ReetrakAdmin_TC_06</t>
  </si>
  <si>
    <t>Verification of Add User-2 functionality.</t>
  </si>
  <si>
    <t>Admins1</t>
  </si>
  <si>
    <t>ReetrakAdmin_TC_07</t>
  </si>
  <si>
    <t>Verification of Add User-3 functionality.</t>
  </si>
  <si>
    <t>ReetrakAdmin_TC_08</t>
  </si>
  <si>
    <t>Verification of Deactivate User functionality.</t>
  </si>
  <si>
    <t>level1ssccpool</t>
  </si>
  <si>
    <t>level4required</t>
  </si>
  <si>
    <t>Verify that the Product Master menu opens successfully.</t>
  </si>
  <si>
    <t>Verify that the Add Product button opens the product form.</t>
  </si>
  <si>
    <t>Verify that the Save button is disabled when no product data is entered.</t>
  </si>
  <si>
    <t>Verify that a new product can be added successfully (1 Level).</t>
  </si>
  <si>
    <t>TRACLINK</t>
  </si>
  <si>
    <t>REESOURCE 14</t>
  </si>
  <si>
    <t>Serial Manager : REESOURCE 14 has Added successfully.</t>
  </si>
  <si>
    <t>ATTP 14</t>
  </si>
  <si>
    <t>ATTP</t>
  </si>
  <si>
    <t>Serial Manager : ATTP 14 has Added successfully.</t>
  </si>
  <si>
    <t>RFXCEL 14</t>
  </si>
  <si>
    <t>RFXCEL</t>
  </si>
  <si>
    <t>Serial Manager : RFXCEL 14 has Added successfully.</t>
  </si>
  <si>
    <t>BatchRequest_TC_Reesource_Load</t>
  </si>
  <si>
    <t>BatchRequest_TC_Reesource_Transfer</t>
  </si>
  <si>
    <t>BatchRequest_TC_Reesource_Close</t>
  </si>
  <si>
    <t>BatchRequest_TC_Attp_Load</t>
  </si>
  <si>
    <t>BatchRequest_TC_Attp_Transfer</t>
  </si>
  <si>
    <t>BatchRequest_TC_Attp_Close</t>
  </si>
  <si>
    <t>BatchRequest_TC_Rfxcel_Load</t>
  </si>
  <si>
    <t>BatchRequest_TC_Rfxcel_Transfer</t>
  </si>
  <si>
    <t>BatchRequest_TC_Rfxcel_Close</t>
  </si>
  <si>
    <t>ExportBatchDetails_TC_Traclink</t>
  </si>
  <si>
    <t>ExportBatchDetails_TC_Reesource</t>
  </si>
  <si>
    <t>ExportBatchDetails_TC_Attp</t>
  </si>
  <si>
    <t>ExportBatchDetails_TC_Rfxcel</t>
  </si>
  <si>
    <t>ExportBatchDetails_TC_Reesource_Page</t>
  </si>
  <si>
    <t>ExportBatchDetails_TC_Attp_Page</t>
  </si>
  <si>
    <t>ExportBatchDetails_TC_Rfxcel_Page</t>
  </si>
  <si>
    <t>REESOURCE-REESOURCE</t>
  </si>
  <si>
    <t>ATTP-ATTP</t>
  </si>
  <si>
    <t>RFXCEL-RFXCEL</t>
  </si>
  <si>
    <t>TRACELINK 14</t>
  </si>
  <si>
    <t>TRACELINK-TRACELINK</t>
  </si>
  <si>
    <t>Serial Manager : TRACELINK 14 has Added successfully.</t>
  </si>
  <si>
    <t>ExportBatchDetails_TC_Tracelink_Page</t>
  </si>
  <si>
    <t>BatchRequest_TC_Tracelink_Load</t>
  </si>
  <si>
    <t>BatchRequest_TC_Tracelink_Transfer</t>
  </si>
  <si>
    <t>BatchRequest_TC_Tracelink_Close</t>
  </si>
  <si>
    <t>TRACELINK</t>
  </si>
  <si>
    <t>Existing Name</t>
  </si>
  <si>
    <t>Temp JEK 14</t>
  </si>
  <si>
    <t>Serial Manager : Temp JEK 14 has Added successfully.</t>
  </si>
  <si>
    <t>Verification of Add 1st Reesource SSCC Pool functionality.</t>
  </si>
  <si>
    <t>Verification of Add 1st Tracelink SSCC Pool functionality.</t>
  </si>
  <si>
    <t>Verification of Add 2nd Reesource SSCC Pool functionality.</t>
  </si>
  <si>
    <t>Verification of Add 2nd Tracelink SSCC Pool functionality.</t>
  </si>
  <si>
    <t>Verification of Add 1st RFXCEL SSCC Pool functionality.</t>
  </si>
  <si>
    <t>Verification of Add 2nd RFXCEL SSCC Pool functionality.</t>
  </si>
  <si>
    <t>Verification of Add 1st ATTP SSCC Pool functionality.</t>
  </si>
  <si>
    <t>Verification of Add 2nd ATTP SSCC Pool functionality.</t>
  </si>
  <si>
    <t>SSCC-Pool_TC_12</t>
  </si>
  <si>
    <t>SSCC-Pool_TC_13</t>
  </si>
  <si>
    <t>SSCC-Pool_TC_14</t>
  </si>
  <si>
    <t>SSCC-Pool_TC_15</t>
  </si>
  <si>
    <t>SSCC-Pool_TC_16</t>
  </si>
  <si>
    <t>SSCC-Pool_TC_17</t>
  </si>
  <si>
    <t>SSCC-Pool_TC_18</t>
  </si>
  <si>
    <t>SSCC-Pool_TC_19</t>
  </si>
  <si>
    <t>Serial-Master_TC_13</t>
  </si>
  <si>
    <t>Serial-Master_TC_14</t>
  </si>
  <si>
    <t>Serial-Master_TC_15</t>
  </si>
  <si>
    <t>Serial-Master_TC_16</t>
  </si>
  <si>
    <t>Verify the functionality of the Add JEKSON Serial Manager.</t>
  </si>
  <si>
    <t>Verify the functionality of the Add TRACELINK Serial Manager.</t>
  </si>
  <si>
    <t>Verify the functionality of the Add REESOURCE Serial Manager.</t>
  </si>
  <si>
    <t>Verify the functionality of the Add ATTP Serial Manager.</t>
  </si>
  <si>
    <t>Verify the functionality of the Add RFXCEL Serial Manager.</t>
  </si>
  <si>
    <t>2-1100123</t>
  </si>
  <si>
    <t>9-1100123</t>
  </si>
  <si>
    <t>2-1900123</t>
  </si>
  <si>
    <t>9-1900123</t>
  </si>
  <si>
    <t>2-7700123</t>
  </si>
  <si>
    <t>9-7700123</t>
  </si>
  <si>
    <t>2-9900123</t>
  </si>
  <si>
    <t>9-9900123</t>
  </si>
  <si>
    <t>236BA1-CODE_236_Agg_GTIN-236PO1</t>
  </si>
  <si>
    <t>Verification of Manage Dsipostion page opening successfully.</t>
  </si>
  <si>
    <t>Verification of 'Seach Code' functionality on 'Code List' Page</t>
  </si>
  <si>
    <t>Verification of 'Seach Code' functionality on 'Verify Code detail' Page</t>
  </si>
  <si>
    <t>Verification of 'Scan Code' functionality on 'Code List' Page</t>
  </si>
  <si>
    <t>MFG Date</t>
  </si>
  <si>
    <t>EXP Date</t>
  </si>
  <si>
    <t>PO Master</t>
  </si>
  <si>
    <t>01-08-2026</t>
  </si>
  <si>
    <t>31-12-2027</t>
  </si>
  <si>
    <t>Verify that the PO Master menu opens successfully.</t>
  </si>
  <si>
    <t>Verify that a new PO can be added successfully.</t>
  </si>
  <si>
    <t>Verify that a existing PO can be updated successfully.</t>
  </si>
  <si>
    <t>CC12</t>
  </si>
  <si>
    <t>Jekson 14</t>
  </si>
  <si>
    <t>22222222222226</t>
  </si>
  <si>
    <t>11111111111113</t>
  </si>
  <si>
    <t>33333333333339</t>
  </si>
  <si>
    <t>44444444444442</t>
  </si>
  <si>
    <t>SHP</t>
  </si>
  <si>
    <t>level6drop</t>
  </si>
  <si>
    <t>level6trade</t>
  </si>
  <si>
    <t>level6packsize</t>
  </si>
  <si>
    <t>level6packaginglevel</t>
  </si>
  <si>
    <t>level6prefix</t>
  </si>
  <si>
    <t>level6required</t>
  </si>
  <si>
    <t>level6threshold</t>
  </si>
  <si>
    <t>level6prn</t>
  </si>
  <si>
    <t>level6image</t>
  </si>
  <si>
    <t>level6ssccpool</t>
  </si>
  <si>
    <t>66666666666668</t>
  </si>
  <si>
    <t>Verify that a new product can be added successfully (2 Level).</t>
  </si>
  <si>
    <t>CC2</t>
  </si>
  <si>
    <t>Verify that a new product can be added successfully (2-3 Level).</t>
  </si>
  <si>
    <t>Verify that a new product can be added successfully (2-3-4 Level).</t>
  </si>
  <si>
    <t>Verify that a new product can be added successfully (1-2 Level).</t>
  </si>
  <si>
    <t>Verify that a new product can be added successfully (1-2-3 Level).</t>
  </si>
  <si>
    <t>CC23</t>
  </si>
  <si>
    <t>CC234</t>
  </si>
  <si>
    <t>CC1</t>
  </si>
  <si>
    <t>CC123</t>
  </si>
  <si>
    <t>Test Product</t>
  </si>
  <si>
    <t>2 - 8900123</t>
  </si>
  <si>
    <t>10.00</t>
  </si>
  <si>
    <t>CC1236S</t>
  </si>
  <si>
    <t>CC123S</t>
  </si>
  <si>
    <t>CC23S</t>
  </si>
  <si>
    <t>CC234S</t>
  </si>
  <si>
    <t>CC236S</t>
  </si>
  <si>
    <t>CC2346S</t>
  </si>
  <si>
    <t>Product-Master_TC_11</t>
  </si>
  <si>
    <t>Product-Master_TC_12</t>
  </si>
  <si>
    <t>Product-Master_TC_13</t>
  </si>
  <si>
    <t>Product-Master_TC_14</t>
  </si>
  <si>
    <t>Product-Master_TC_15</t>
  </si>
  <si>
    <t>Product-Master_TC_16</t>
  </si>
  <si>
    <t>Product-Master_TC_17</t>
  </si>
  <si>
    <t>CC2346MS</t>
  </si>
  <si>
    <t>CC1236MS</t>
  </si>
  <si>
    <t>Ser_1_PRD</t>
  </si>
  <si>
    <t>Ser_1_CODE</t>
  </si>
  <si>
    <t>Agg_12_PRD</t>
  </si>
  <si>
    <t>Agg_12_CODE</t>
  </si>
  <si>
    <t>Agg_123_PRD</t>
  </si>
  <si>
    <t>Agg_123_CODE</t>
  </si>
  <si>
    <t>Agg_123S_PRD</t>
  </si>
  <si>
    <t>Agg_123S_CODE</t>
  </si>
  <si>
    <t>Agg_1236S_PRD</t>
  </si>
  <si>
    <t>Agg_1236S_CODE</t>
  </si>
  <si>
    <t>Ser_2_PRD</t>
  </si>
  <si>
    <t>Ser_2_CODE</t>
  </si>
  <si>
    <t>Ser_23_PRD</t>
  </si>
  <si>
    <t>Ser_23_CODE</t>
  </si>
  <si>
    <t>Agg_23S_PRD</t>
  </si>
  <si>
    <t>Agg_23S_CODE</t>
  </si>
  <si>
    <t>Ser_234_PRD</t>
  </si>
  <si>
    <t>Ser_234_CODE</t>
  </si>
  <si>
    <t>Agg_234S_PRD</t>
  </si>
  <si>
    <t>Agg_234S_CODE</t>
  </si>
  <si>
    <t>Agg_236S_PRD</t>
  </si>
  <si>
    <t>Agg_236S_CODE</t>
  </si>
  <si>
    <t>Agg_2346S_PRD</t>
  </si>
  <si>
    <t>Agg_2346S_CODE</t>
  </si>
  <si>
    <t>Agg_2346MS_PRD</t>
  </si>
  <si>
    <t>Agg_1236MS_PRD</t>
  </si>
  <si>
    <t>Agg_2346MS_CODE</t>
  </si>
  <si>
    <t>Agg_1236MS_CODE</t>
  </si>
  <si>
    <t>Blister</t>
  </si>
  <si>
    <t>Verify that a new product can be added successfully (1-2-3 Level with 3rd - SSCC).</t>
  </si>
  <si>
    <t>Verify that a new product can be added successfully (1-2-3-6 Level with 6th - SSCC).</t>
  </si>
  <si>
    <t>Verify that a new product can be added successfully (2-3 Level with 3rd-SSCC).</t>
  </si>
  <si>
    <t>Verify that a new product can be added successfully (2-3-4 Level with 4th-SSCC).</t>
  </si>
  <si>
    <t>Verify that a new product can be added successfully (2-3-6 Level with 6th-SSCC).</t>
  </si>
  <si>
    <t>Verify that a new product can be added successfully (2-3-4-6 Level with 6th-SSCC).</t>
  </si>
  <si>
    <t>Verify that a new product can be added successfully (2-3-4-6 Level with 4th &amp; 6th-SSCC).</t>
  </si>
  <si>
    <t>Verify that a new product can be added successfully (1-2-3-6 Level with 3rd &amp; 6th - SSCC).</t>
  </si>
  <si>
    <t>level2Partial</t>
  </si>
  <si>
    <t>Yes</t>
  </si>
  <si>
    <t>level2partialprn</t>
  </si>
  <si>
    <t>level2partialimage</t>
  </si>
  <si>
    <t>level2partialpool</t>
  </si>
  <si>
    <t>level3Partial</t>
  </si>
  <si>
    <t>level3partialpool</t>
  </si>
  <si>
    <t>level3partialprn</t>
  </si>
  <si>
    <t>level3partialimage</t>
  </si>
  <si>
    <t>level4Partial</t>
  </si>
  <si>
    <t>level4partialpool</t>
  </si>
  <si>
    <t>level4partialprn</t>
  </si>
  <si>
    <t>level4partialimage</t>
  </si>
  <si>
    <t>level6Partial</t>
  </si>
  <si>
    <t>level6partialpool</t>
  </si>
  <si>
    <t>level6partialprn</t>
  </si>
  <si>
    <t>level6partialimage</t>
  </si>
  <si>
    <t>Product-Master_TC_18</t>
  </si>
  <si>
    <t>Product-Master_TC_19</t>
  </si>
  <si>
    <t>Verify that a new Non-Serialization product can be added successfully (2-3-4 Level).</t>
  </si>
  <si>
    <t>Verify that a new Non-Serialization product can be added successfully (1-2-3 Level).</t>
  </si>
  <si>
    <t>Nsr_234_PRD</t>
  </si>
  <si>
    <t>Nsr_123_PRD</t>
  </si>
  <si>
    <t>Nsr_234_CODE</t>
  </si>
  <si>
    <t>Nsr_123_CODE</t>
  </si>
  <si>
    <t>Nsr123</t>
  </si>
  <si>
    <t>Nsr234</t>
  </si>
  <si>
    <t>Non Serialization</t>
  </si>
  <si>
    <t>Product-Master_TC_20</t>
  </si>
  <si>
    <t>Existing Product Code</t>
  </si>
  <si>
    <t>USA</t>
  </si>
  <si>
    <t>yyMM00</t>
  </si>
  <si>
    <t>CANADA yy-MM</t>
  </si>
  <si>
    <t>MEXICO MMM-yyyy</t>
  </si>
  <si>
    <t>Product-Master_TC_21</t>
  </si>
  <si>
    <t>15x2</t>
  </si>
  <si>
    <t>BUN</t>
  </si>
  <si>
    <t>Product-Master_TC_22</t>
  </si>
  <si>
    <t>Product-Master_TC_23</t>
  </si>
  <si>
    <t>Verify that an active product can be deactivated successfully.</t>
  </si>
  <si>
    <t>Verify that a deactivated product can be activated successfully.</t>
  </si>
  <si>
    <t>Verify that an existing product can be updated by adding a single level (+1 Level).</t>
  </si>
  <si>
    <t>Product-Master_TC_24</t>
  </si>
  <si>
    <t>No</t>
  </si>
  <si>
    <t>03FB1159EEDD995FF1DBBAC7A32B6993B3A61030737E8C1A660C6126B46AA53E8F3AE9183890AAD2BFBF9A969A6F7888C6CEFA18CC41A41472A61589D50BC378C84E0A135D23F428FA9618C8120B605BD105731CEC8EC5FB77EF7EB9BAD183D8BB285C653F81A44D04906FEB1B7200B58F11CC45DAB59DDAC20FE07471F8BE10FB2B6EEA14EEA20CA1AD2C81C62680E81FE76D7979D7E8C6D612059A387714036EF3DB5039A5F8CA21230E7E7928761D44A7A1335F2B0B2AEF1DE3EEBE84D2BBA27EEFC42BCB4EC98F61AF247BDD7878DF4234B5143A82DEDE00C20FC992F43C10FBE86E339C53CA46B3B5F7B6A70B871C7A4652329D10FC5904BC0629E039AF03B71BD554D45FCEEB0A4C71B5EF782401AB5B387179C3BDF11FFAAB95205146B797EE5E85B98D7004573B0C7481B51492AF64C1EC19B429D4B0114DC7E1CE8C4E6D753FA8908700D2D6F09A32E86BB6F9ACDCB9B62F7CF9E18AEBCA8E905F0369E9BB734DC305A94F446DFC071CBE74B619071BD8A761BAC94E5ABEE76ACF093B42EEE3C46112F4FD6D7BFD2AB253D0FCD6E369366AA1D1AF4256B0A5226E240B0BCB7C76252746F3BFBA39989644F7BB8DBA192D88E9695E7917156F50E64B5B957BCC19F96A3ADA8F5D75EE89B1ED</t>
  </si>
  <si>
    <t>Admins</t>
  </si>
  <si>
    <t>D:\Logo and PRN\Administrator.png</t>
  </si>
  <si>
    <t>D:\Logo and PRN\Jekson vision.png</t>
  </si>
  <si>
    <t>D:\Logo and PRN\PRN and PNG\SEC.PRN</t>
  </si>
  <si>
    <t>D:\Logo and PRN\PRN and PNG\SEC.PNG</t>
  </si>
  <si>
    <t>D:\Logo and PRN\PRN and PNG\New SEC.PRN</t>
  </si>
  <si>
    <t>D:\Logo and PRN\PRN and PNG\New SEC.PNG</t>
  </si>
  <si>
    <t>D:\Logo and PRN\PRN and PNG\Partial.PRN</t>
  </si>
  <si>
    <t>D:\Logo and PRN\PRN and PNG\Partial.PNG</t>
  </si>
  <si>
    <t>Welcome back</t>
  </si>
  <si>
    <t>ACTIVE</t>
  </si>
  <si>
    <t>DEACTIVE</t>
  </si>
  <si>
    <t>1 - 8900123</t>
  </si>
  <si>
    <t>1 - 5500123</t>
  </si>
  <si>
    <t>Add New Product</t>
  </si>
  <si>
    <t>strength</t>
  </si>
  <si>
    <t>dosageForm</t>
  </si>
  <si>
    <t>Tablet</t>
  </si>
  <si>
    <t>500 mg</t>
  </si>
  <si>
    <t>Temp Jekson 14</t>
  </si>
  <si>
    <t>Verify that an existing product can be updated by removing a single level (-1 Level).</t>
  </si>
  <si>
    <t>Product-Master_TC_25</t>
  </si>
  <si>
    <t>Verify copying an existing product with new product code and customer code.</t>
  </si>
  <si>
    <t>Copy_1236MS_PRD</t>
  </si>
  <si>
    <t>Copy_1236MS_CODE</t>
  </si>
  <si>
    <t>Copy1236</t>
  </si>
  <si>
    <t>Copy_Upd_2346_PRD</t>
  </si>
  <si>
    <t>Copy_Upd_2346_CODE</t>
  </si>
  <si>
    <t>CopyUpd2346</t>
  </si>
  <si>
    <t>Test Product Update</t>
  </si>
  <si>
    <t>100.00</t>
  </si>
  <si>
    <t>Verify that an existing product can be updated from (1-2-3-6 Level) to (2-3-4-6 Level).</t>
  </si>
  <si>
    <t>Copy_Upd_234_PRD</t>
  </si>
  <si>
    <t>Copy_Upd_234_CODE</t>
  </si>
  <si>
    <t>CopyUpd234</t>
  </si>
  <si>
    <t>dd/MM/yyyy</t>
  </si>
  <si>
    <t>Agg_1234_CODE</t>
  </si>
  <si>
    <t>CC1234</t>
  </si>
  <si>
    <t>Test Product 1234</t>
  </si>
  <si>
    <t>Agg_1234_PRD</t>
  </si>
  <si>
    <t>Approve</t>
  </si>
  <si>
    <t>Expected Message From Inbox</t>
  </si>
  <si>
    <t>TestPO1</t>
  </si>
  <si>
    <t>TestBA1</t>
  </si>
  <si>
    <t>30-11-2030</t>
  </si>
  <si>
    <t>TP234-PRD234</t>
  </si>
  <si>
    <t>234PO1</t>
  </si>
  <si>
    <t>234BA1</t>
  </si>
  <si>
    <t>01-09-2026</t>
  </si>
  <si>
    <t>CODE2346-PRD2346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</si>
</sst>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quotePrefix="1"/>
    <xf numFmtId="49" fontId="0" fillId="0" borderId="0" xfId="0" quotePrefix="1" applyNumberFormat="1" applyAlignment="1">
      <alignment horizontal="center"/>
    </xf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" fontId="0" fillId="0" borderId="0" xfId="0" quotePrefix="1" applyNumberForma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5" xfId="0" quotePrefix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2" fontId="0" fillId="3" borderId="0" xfId="0" quotePrefix="1" applyNumberFormat="1" applyFill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5" xfId="0" quotePrefix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www.jeksonvision.com/" TargetMode="External"/><Relationship Id="rId1" Type="http://schemas.openxmlformats.org/officeDocument/2006/relationships/hyperlink" Target="http://localhost:8080/TrackAndTraceServer/reeclient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qa.jek@gmail.com" TargetMode="External"/><Relationship Id="rId1" Type="http://schemas.openxmlformats.org/officeDocument/2006/relationships/hyperlink" Target="mailto:QA.Jekson@gmail.com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qa.jek@gmail.co.in" TargetMode="External"/><Relationship Id="rId2" Type="http://schemas.openxmlformats.org/officeDocument/2006/relationships/hyperlink" Target="mailto:qa.jek@gmail.com" TargetMode="External"/><Relationship Id="rId1" Type="http://schemas.openxmlformats.org/officeDocument/2006/relationships/hyperlink" Target="mailto:qa.jek@gmail.co.in" TargetMode="External"/><Relationship Id="rId6" Type="http://schemas.openxmlformats.org/officeDocument/2006/relationships/printerSettings" Target="../printerSettings/printerSettings4.bin"/><Relationship Id="rId5" Type="http://schemas.openxmlformats.org/officeDocument/2006/relationships/hyperlink" Target="mailto:qa.jek@gmail.co.in" TargetMode="External"/><Relationship Id="rId4" Type="http://schemas.openxmlformats.org/officeDocument/2006/relationships/hyperlink" Target="mailto:qa.jek@gmail.co.in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65E96-0CAC-43E6-AA20-2FA25F220C50}">
  <dimension ref="A1:O9"/>
  <sheetViews>
    <sheetView workbookViewId="0">
      <selection activeCell="B5" sqref="B5"/>
    </sheetView>
  </sheetViews>
  <sheetFormatPr defaultRowHeight="15" x14ac:dyDescent="0.25"/>
  <cols>
    <col min="1" max="1" width="20.140625" bestFit="1" customWidth="1"/>
    <col min="2" max="2" width="46.5703125" bestFit="1" customWidth="1"/>
    <col min="3" max="3" width="27.5703125" style="8" customWidth="1"/>
    <col min="4" max="4" width="16.28515625" style="8" bestFit="1" customWidth="1"/>
    <col min="5" max="5" width="16.42578125" style="8" bestFit="1" customWidth="1"/>
    <col min="6" max="6" width="19.7109375" style="8" bestFit="1" customWidth="1"/>
    <col min="7" max="7" width="20.140625" style="8" bestFit="1" customWidth="1"/>
    <col min="8" max="8" width="33.42578125" style="8" bestFit="1" customWidth="1"/>
    <col min="9" max="10" width="9.140625" style="8"/>
    <col min="11" max="11" width="8.85546875" style="8" bestFit="1" customWidth="1"/>
    <col min="12" max="12" width="4.7109375" style="8" bestFit="1" customWidth="1"/>
    <col min="13" max="13" width="5.5703125" style="8" bestFit="1" customWidth="1"/>
    <col min="14" max="14" width="8" style="8" bestFit="1" customWidth="1"/>
    <col min="15" max="15" width="63.140625" style="1" bestFit="1" customWidth="1"/>
  </cols>
  <sheetData>
    <row r="1" spans="1:15" s="5" customFormat="1" ht="15" customHeight="1" x14ac:dyDescent="0.25">
      <c r="A1" s="5" t="s">
        <v>60</v>
      </c>
      <c r="B1" s="5" t="s">
        <v>71</v>
      </c>
      <c r="C1" s="5" t="s">
        <v>654</v>
      </c>
      <c r="D1" s="5" t="s">
        <v>655</v>
      </c>
      <c r="E1" s="5" t="s">
        <v>656</v>
      </c>
      <c r="F1" s="5" t="s">
        <v>657</v>
      </c>
      <c r="G1" s="5" t="s">
        <v>658</v>
      </c>
      <c r="H1" s="5" t="s">
        <v>659</v>
      </c>
      <c r="I1" s="5" t="s">
        <v>50</v>
      </c>
      <c r="J1" s="5" t="s">
        <v>51</v>
      </c>
      <c r="K1" s="5" t="s">
        <v>196</v>
      </c>
      <c r="L1" s="5" t="s">
        <v>197</v>
      </c>
      <c r="M1" s="5" t="s">
        <v>198</v>
      </c>
      <c r="N1" s="5" t="s">
        <v>199</v>
      </c>
      <c r="O1" s="11" t="s">
        <v>66</v>
      </c>
    </row>
    <row r="2" spans="1:15" ht="15" customHeight="1" x14ac:dyDescent="0.25">
      <c r="A2" t="s">
        <v>660</v>
      </c>
      <c r="B2" t="s">
        <v>661</v>
      </c>
      <c r="D2" s="8" t="s">
        <v>45</v>
      </c>
      <c r="E2" s="8">
        <v>12345</v>
      </c>
      <c r="F2" s="8">
        <v>14</v>
      </c>
      <c r="G2" s="8" t="s">
        <v>662</v>
      </c>
      <c r="H2" s="8" t="s">
        <v>907</v>
      </c>
      <c r="I2" s="8" t="s">
        <v>663</v>
      </c>
      <c r="J2" s="8" t="s">
        <v>664</v>
      </c>
      <c r="K2" s="8">
        <v>123456</v>
      </c>
      <c r="L2" s="8" t="s">
        <v>665</v>
      </c>
      <c r="M2" s="8" t="s">
        <v>666</v>
      </c>
      <c r="N2" s="8" t="s">
        <v>667</v>
      </c>
      <c r="O2" s="1" t="s">
        <v>668</v>
      </c>
    </row>
    <row r="3" spans="1:15" ht="15" customHeight="1" x14ac:dyDescent="0.25">
      <c r="A3" t="s">
        <v>669</v>
      </c>
      <c r="B3" t="s">
        <v>670</v>
      </c>
      <c r="C3" s="8" t="s">
        <v>905</v>
      </c>
      <c r="D3" s="8" t="s">
        <v>302</v>
      </c>
      <c r="E3" s="8" t="s">
        <v>302</v>
      </c>
      <c r="F3" s="8" t="s">
        <v>302</v>
      </c>
      <c r="G3" s="8" t="s">
        <v>302</v>
      </c>
      <c r="H3" s="8" t="s">
        <v>302</v>
      </c>
      <c r="I3" s="8" t="s">
        <v>302</v>
      </c>
      <c r="J3" s="8" t="s">
        <v>302</v>
      </c>
      <c r="K3" s="8" t="s">
        <v>302</v>
      </c>
      <c r="L3" s="8" t="s">
        <v>302</v>
      </c>
      <c r="M3" s="8" t="s">
        <v>302</v>
      </c>
      <c r="N3" s="8" t="s">
        <v>302</v>
      </c>
      <c r="O3" s="1" t="s">
        <v>671</v>
      </c>
    </row>
    <row r="4" spans="1:15" ht="15" customHeight="1" x14ac:dyDescent="0.25">
      <c r="A4" t="s">
        <v>672</v>
      </c>
      <c r="B4" t="s">
        <v>673</v>
      </c>
    </row>
    <row r="5" spans="1:15" ht="15" customHeight="1" x14ac:dyDescent="0.25">
      <c r="A5" t="s">
        <v>674</v>
      </c>
      <c r="B5" t="s">
        <v>675</v>
      </c>
      <c r="O5" s="1" t="s">
        <v>676</v>
      </c>
    </row>
    <row r="6" spans="1:15" ht="15" customHeight="1" x14ac:dyDescent="0.25">
      <c r="A6" t="s">
        <v>677</v>
      </c>
      <c r="B6" t="s">
        <v>678</v>
      </c>
      <c r="C6" s="8">
        <v>9876543210</v>
      </c>
      <c r="D6" s="8" t="s">
        <v>6</v>
      </c>
      <c r="E6" s="8" t="s">
        <v>120</v>
      </c>
      <c r="F6" s="8" t="s">
        <v>121</v>
      </c>
      <c r="G6" s="8" t="s">
        <v>679</v>
      </c>
      <c r="H6" s="8" t="s">
        <v>56</v>
      </c>
      <c r="O6" s="1" t="s">
        <v>9</v>
      </c>
    </row>
    <row r="7" spans="1:15" ht="15" customHeight="1" x14ac:dyDescent="0.25">
      <c r="A7" t="s">
        <v>680</v>
      </c>
      <c r="B7" t="s">
        <v>681</v>
      </c>
      <c r="C7" s="8">
        <v>9876543210</v>
      </c>
      <c r="D7" s="8" t="s">
        <v>906</v>
      </c>
      <c r="E7" s="8" t="s">
        <v>258</v>
      </c>
      <c r="F7" s="8" t="s">
        <v>259</v>
      </c>
      <c r="G7" s="8" t="s">
        <v>679</v>
      </c>
      <c r="H7" s="8" t="s">
        <v>56</v>
      </c>
      <c r="O7" s="1" t="s">
        <v>9</v>
      </c>
    </row>
    <row r="8" spans="1:15" ht="15" customHeight="1" x14ac:dyDescent="0.25">
      <c r="A8" t="s">
        <v>683</v>
      </c>
      <c r="B8" t="s">
        <v>684</v>
      </c>
      <c r="C8" s="8">
        <v>9876543210</v>
      </c>
      <c r="D8" s="8" t="s">
        <v>682</v>
      </c>
      <c r="E8" s="8" t="s">
        <v>120</v>
      </c>
      <c r="F8" s="8" t="s">
        <v>121</v>
      </c>
      <c r="G8" s="8" t="s">
        <v>679</v>
      </c>
      <c r="H8" s="8" t="s">
        <v>56</v>
      </c>
      <c r="O8" s="1" t="s">
        <v>9</v>
      </c>
    </row>
    <row r="9" spans="1:15" ht="15" customHeight="1" x14ac:dyDescent="0.25">
      <c r="A9" t="s">
        <v>685</v>
      </c>
      <c r="B9" t="s">
        <v>686</v>
      </c>
      <c r="D9" s="8" t="s">
        <v>682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0B2AF-D480-4B66-88AC-F5D46778EB18}">
  <dimension ref="A1:H12"/>
  <sheetViews>
    <sheetView workbookViewId="0">
      <selection activeCell="B14" sqref="B14"/>
    </sheetView>
  </sheetViews>
  <sheetFormatPr defaultRowHeight="15" x14ac:dyDescent="0.25"/>
  <cols>
    <col min="1" max="1" width="18.85546875" bestFit="1" customWidth="1"/>
    <col min="2" max="2" width="63.42578125" style="3" bestFit="1" customWidth="1"/>
    <col min="3" max="3" width="11" bestFit="1" customWidth="1"/>
    <col min="4" max="4" width="15.5703125" bestFit="1" customWidth="1"/>
    <col min="5" max="5" width="41.42578125" bestFit="1" customWidth="1"/>
    <col min="6" max="6" width="27.42578125" bestFit="1" customWidth="1"/>
    <col min="7" max="7" width="26.28515625" bestFit="1" customWidth="1"/>
    <col min="8" max="8" width="27.42578125" bestFit="1" customWidth="1"/>
  </cols>
  <sheetData>
    <row r="1" spans="1:8" s="8" customFormat="1" x14ac:dyDescent="0.25">
      <c r="A1" s="5" t="s">
        <v>60</v>
      </c>
      <c r="B1" s="6" t="s">
        <v>71</v>
      </c>
      <c r="C1" s="12" t="s">
        <v>0</v>
      </c>
      <c r="D1" s="12" t="s">
        <v>1</v>
      </c>
      <c r="E1" s="12" t="s">
        <v>66</v>
      </c>
      <c r="F1" s="12" t="s">
        <v>404</v>
      </c>
      <c r="G1" s="12" t="s">
        <v>405</v>
      </c>
      <c r="H1" s="12" t="s">
        <v>411</v>
      </c>
    </row>
    <row r="2" spans="1:8" x14ac:dyDescent="0.25">
      <c r="A2" t="s">
        <v>397</v>
      </c>
      <c r="B2" s="3" t="s">
        <v>407</v>
      </c>
      <c r="C2" t="s">
        <v>2</v>
      </c>
      <c r="D2" t="s">
        <v>2</v>
      </c>
      <c r="E2" t="s">
        <v>2</v>
      </c>
      <c r="F2" t="s">
        <v>3</v>
      </c>
      <c r="G2" t="s">
        <v>4</v>
      </c>
      <c r="H2" t="s">
        <v>2</v>
      </c>
    </row>
    <row r="3" spans="1:8" x14ac:dyDescent="0.25">
      <c r="A3" t="s">
        <v>398</v>
      </c>
      <c r="B3" s="3" t="s">
        <v>406</v>
      </c>
      <c r="C3" t="s">
        <v>5</v>
      </c>
      <c r="D3" t="s">
        <v>1</v>
      </c>
      <c r="E3" t="str">
        <f>CONCATENATE(C3," does not exists.")</f>
        <v>InvalidUser does not exists.</v>
      </c>
      <c r="F3" t="s">
        <v>2</v>
      </c>
      <c r="G3" t="s">
        <v>2</v>
      </c>
      <c r="H3" t="s">
        <v>2</v>
      </c>
    </row>
    <row r="4" spans="1:8" x14ac:dyDescent="0.25">
      <c r="A4" t="s">
        <v>399</v>
      </c>
      <c r="B4" s="3" t="s">
        <v>408</v>
      </c>
      <c r="C4" t="s">
        <v>6</v>
      </c>
      <c r="D4" t="s">
        <v>7</v>
      </c>
      <c r="E4" t="s">
        <v>412</v>
      </c>
      <c r="F4" t="s">
        <v>2</v>
      </c>
      <c r="G4" t="s">
        <v>2</v>
      </c>
      <c r="H4" t="s">
        <v>2</v>
      </c>
    </row>
    <row r="5" spans="1:8" x14ac:dyDescent="0.25">
      <c r="A5" t="s">
        <v>400</v>
      </c>
      <c r="B5" s="3" t="s">
        <v>409</v>
      </c>
      <c r="C5" t="s">
        <v>6</v>
      </c>
      <c r="D5" t="s">
        <v>1</v>
      </c>
      <c r="E5" t="s">
        <v>9</v>
      </c>
      <c r="F5" t="s">
        <v>2</v>
      </c>
      <c r="G5" t="s">
        <v>2</v>
      </c>
      <c r="H5" t="s">
        <v>2</v>
      </c>
    </row>
    <row r="6" spans="1:8" x14ac:dyDescent="0.25">
      <c r="A6" t="s">
        <v>401</v>
      </c>
      <c r="B6" s="3" t="s">
        <v>416</v>
      </c>
      <c r="C6" t="s">
        <v>6</v>
      </c>
      <c r="D6" t="s">
        <v>1</v>
      </c>
      <c r="E6" t="s">
        <v>915</v>
      </c>
      <c r="F6" t="s">
        <v>2</v>
      </c>
      <c r="G6" t="s">
        <v>2</v>
      </c>
      <c r="H6" t="s">
        <v>2</v>
      </c>
    </row>
    <row r="7" spans="1:8" x14ac:dyDescent="0.25">
      <c r="A7" t="s">
        <v>402</v>
      </c>
      <c r="B7" s="3" t="s">
        <v>410</v>
      </c>
      <c r="C7" t="s">
        <v>906</v>
      </c>
      <c r="D7" t="s">
        <v>7</v>
      </c>
      <c r="E7" t="s">
        <v>10</v>
      </c>
      <c r="F7" t="s">
        <v>2</v>
      </c>
      <c r="G7" t="s">
        <v>2</v>
      </c>
      <c r="H7" s="15" t="s">
        <v>309</v>
      </c>
    </row>
    <row r="8" spans="1:8" x14ac:dyDescent="0.25">
      <c r="A8" t="s">
        <v>403</v>
      </c>
      <c r="B8" s="3" t="s">
        <v>414</v>
      </c>
      <c r="C8" t="s">
        <v>682</v>
      </c>
      <c r="D8" t="s">
        <v>1</v>
      </c>
      <c r="E8" t="s">
        <v>11</v>
      </c>
      <c r="F8" t="s">
        <v>2</v>
      </c>
      <c r="G8" t="s">
        <v>2</v>
      </c>
      <c r="H8" t="s">
        <v>2</v>
      </c>
    </row>
    <row r="9" spans="1:8" x14ac:dyDescent="0.25">
      <c r="A9" t="s">
        <v>413</v>
      </c>
      <c r="B9" s="3" t="s">
        <v>415</v>
      </c>
      <c r="C9" t="s">
        <v>906</v>
      </c>
      <c r="D9" t="s">
        <v>1</v>
      </c>
      <c r="E9" t="s">
        <v>10</v>
      </c>
    </row>
    <row r="12" spans="1:8" x14ac:dyDescent="0.25">
      <c r="E12" t="s">
        <v>8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52B5F-611C-40C4-AB52-55498D812857}">
  <dimension ref="A1:L5"/>
  <sheetViews>
    <sheetView workbookViewId="0"/>
  </sheetViews>
  <sheetFormatPr defaultRowHeight="15" x14ac:dyDescent="0.25"/>
  <cols>
    <col min="1" max="1" width="22.7109375" style="4" bestFit="1" customWidth="1"/>
    <col min="2" max="2" width="54.5703125" style="9" bestFit="1" customWidth="1"/>
    <col min="3" max="3" width="22.28515625" style="9" bestFit="1" customWidth="1"/>
    <col min="4" max="4" width="32.85546875" style="9" bestFit="1" customWidth="1"/>
    <col min="5" max="5" width="25.5703125" style="9" bestFit="1" customWidth="1"/>
    <col min="6" max="6" width="15.42578125" style="9" bestFit="1" customWidth="1"/>
    <col min="7" max="7" width="8.85546875" style="9" bestFit="1" customWidth="1"/>
    <col min="8" max="8" width="11.7109375" style="9" bestFit="1" customWidth="1"/>
    <col min="9" max="9" width="7.42578125" style="9" bestFit="1" customWidth="1"/>
    <col min="10" max="10" width="8" style="9" bestFit="1" customWidth="1"/>
    <col min="11" max="11" width="6.42578125" style="9" bestFit="1" customWidth="1"/>
    <col min="12" max="12" width="36.140625" style="4" bestFit="1" customWidth="1"/>
    <col min="13" max="16384" width="9.140625" style="4"/>
  </cols>
  <sheetData>
    <row r="1" spans="1:12" x14ac:dyDescent="0.25">
      <c r="A1" s="5" t="s">
        <v>60</v>
      </c>
      <c r="B1" s="13" t="s">
        <v>71</v>
      </c>
      <c r="C1" s="5" t="s">
        <v>12</v>
      </c>
      <c r="D1" s="5" t="s">
        <v>195</v>
      </c>
      <c r="E1" s="5" t="s">
        <v>50</v>
      </c>
      <c r="F1" s="5" t="s">
        <v>51</v>
      </c>
      <c r="G1" s="5" t="s">
        <v>196</v>
      </c>
      <c r="H1" s="5" t="s">
        <v>197</v>
      </c>
      <c r="I1" s="5" t="s">
        <v>198</v>
      </c>
      <c r="J1" s="5" t="s">
        <v>199</v>
      </c>
      <c r="K1" s="5" t="s">
        <v>18</v>
      </c>
      <c r="L1" s="5" t="s">
        <v>66</v>
      </c>
    </row>
    <row r="2" spans="1:12" x14ac:dyDescent="0.25">
      <c r="A2" s="4" t="s">
        <v>190</v>
      </c>
      <c r="B2" s="4" t="s">
        <v>214</v>
      </c>
      <c r="L2" s="9" t="s">
        <v>192</v>
      </c>
    </row>
    <row r="3" spans="1:12" x14ac:dyDescent="0.25">
      <c r="A3" s="4" t="s">
        <v>191</v>
      </c>
      <c r="B3" s="1" t="s">
        <v>210</v>
      </c>
      <c r="L3" s="9" t="s">
        <v>193</v>
      </c>
    </row>
    <row r="4" spans="1:12" x14ac:dyDescent="0.25">
      <c r="A4" s="4" t="s">
        <v>194</v>
      </c>
      <c r="B4" s="4" t="s">
        <v>213</v>
      </c>
      <c r="C4" s="9" t="s">
        <v>22</v>
      </c>
      <c r="D4" s="9" t="s">
        <v>908</v>
      </c>
      <c r="E4" s="9" t="s">
        <v>23</v>
      </c>
      <c r="F4" s="9" t="s">
        <v>24</v>
      </c>
      <c r="G4" s="9">
        <v>382213</v>
      </c>
      <c r="H4" s="9" t="s">
        <v>21</v>
      </c>
      <c r="I4" s="9" t="s">
        <v>25</v>
      </c>
      <c r="J4" s="9" t="s">
        <v>26</v>
      </c>
      <c r="K4" s="9" t="s">
        <v>19</v>
      </c>
      <c r="L4" s="4" t="s">
        <v>20</v>
      </c>
    </row>
    <row r="5" spans="1:12" x14ac:dyDescent="0.25">
      <c r="A5" s="4" t="s">
        <v>241</v>
      </c>
      <c r="B5" s="1" t="s">
        <v>204</v>
      </c>
      <c r="L5" s="9" t="s">
        <v>101</v>
      </c>
    </row>
  </sheetData>
  <hyperlinks>
    <hyperlink ref="L2" r:id="rId1" location="/manufactureView" display="http://localhost:8080/TrackAndTraceServer/reeclient/ - /manufactureView" xr:uid="{02F9C2A5-ACEE-4142-B7B7-26C3F80F6AB4}"/>
    <hyperlink ref="C4" r:id="rId2" xr:uid="{EDA6ECB7-28F5-42E3-B920-1506B3955EA2}"/>
  </hyperlinks>
  <pageMargins left="0.7" right="0.7" top="0.75" bottom="0.75" header="0.3" footer="0.3"/>
  <pageSetup paperSize="9"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311AF-281A-4DC2-A430-B99316BF0E49}">
  <dimension ref="A1:T14"/>
  <sheetViews>
    <sheetView workbookViewId="0"/>
  </sheetViews>
  <sheetFormatPr defaultRowHeight="15" x14ac:dyDescent="0.25"/>
  <cols>
    <col min="1" max="1" width="18.85546875" style="1" bestFit="1" customWidth="1"/>
    <col min="2" max="2" width="64.7109375" style="1" bestFit="1" customWidth="1"/>
    <col min="3" max="3" width="13.140625" style="1" bestFit="1" customWidth="1"/>
    <col min="4" max="4" width="9.85546875" style="1" customWidth="1"/>
    <col min="5" max="5" width="14.7109375" style="1" customWidth="1"/>
    <col min="6" max="6" width="13.5703125" style="1" customWidth="1"/>
    <col min="7" max="7" width="16" style="1" customWidth="1"/>
    <col min="8" max="8" width="9" style="1" customWidth="1"/>
    <col min="9" max="9" width="14.140625" style="1" customWidth="1"/>
    <col min="10" max="10" width="36.140625" style="1" bestFit="1" customWidth="1"/>
    <col min="11" max="11" width="15.7109375" style="1" bestFit="1" customWidth="1"/>
    <col min="12" max="12" width="8.140625" style="1" customWidth="1"/>
    <col min="13" max="13" width="11.7109375" style="1" customWidth="1"/>
    <col min="14" max="14" width="7.42578125" style="1" customWidth="1"/>
    <col min="15" max="15" width="7.7109375" style="1" customWidth="1"/>
    <col min="16" max="16" width="11" style="1" customWidth="1"/>
    <col min="17" max="17" width="21.7109375" style="1" customWidth="1"/>
    <col min="18" max="18" width="11.42578125" style="1" bestFit="1" customWidth="1"/>
    <col min="19" max="19" width="45" style="1" bestFit="1" customWidth="1"/>
    <col min="20" max="20" width="46.42578125" style="1" bestFit="1" customWidth="1"/>
    <col min="21" max="16384" width="9.140625" style="1"/>
  </cols>
  <sheetData>
    <row r="1" spans="1:20" s="7" customFormat="1" x14ac:dyDescent="0.25">
      <c r="A1" s="7" t="s">
        <v>60</v>
      </c>
      <c r="B1" s="6" t="s">
        <v>71</v>
      </c>
      <c r="C1" s="7" t="s">
        <v>33</v>
      </c>
      <c r="D1" s="7" t="s">
        <v>42</v>
      </c>
      <c r="E1" s="7" t="s">
        <v>34</v>
      </c>
      <c r="F1" s="7" t="s">
        <v>35</v>
      </c>
      <c r="G1" s="7" t="s">
        <v>36</v>
      </c>
      <c r="H1" s="7" t="s">
        <v>37</v>
      </c>
      <c r="I1" s="7" t="s">
        <v>38</v>
      </c>
      <c r="J1" s="7" t="s">
        <v>13</v>
      </c>
      <c r="K1" s="7" t="s">
        <v>14</v>
      </c>
      <c r="L1" s="7" t="s">
        <v>39</v>
      </c>
      <c r="M1" s="7" t="s">
        <v>15</v>
      </c>
      <c r="N1" s="7" t="s">
        <v>16</v>
      </c>
      <c r="O1" s="7" t="s">
        <v>17</v>
      </c>
      <c r="P1" s="7" t="s">
        <v>40</v>
      </c>
      <c r="Q1" s="7" t="s">
        <v>41</v>
      </c>
      <c r="R1" s="7" t="s">
        <v>92</v>
      </c>
      <c r="S1" s="7" t="s">
        <v>91</v>
      </c>
      <c r="T1" s="7" t="s">
        <v>66</v>
      </c>
    </row>
    <row r="2" spans="1:20" x14ac:dyDescent="0.25">
      <c r="A2" s="4" t="s">
        <v>81</v>
      </c>
      <c r="B2" s="1" t="s">
        <v>206</v>
      </c>
      <c r="T2" s="1" t="s">
        <v>27</v>
      </c>
    </row>
    <row r="3" spans="1:20" x14ac:dyDescent="0.25">
      <c r="A3" s="4" t="s">
        <v>82</v>
      </c>
      <c r="B3" s="1" t="s">
        <v>207</v>
      </c>
      <c r="T3" s="1" t="s">
        <v>28</v>
      </c>
    </row>
    <row r="4" spans="1:20" x14ac:dyDescent="0.25">
      <c r="A4" s="4" t="s">
        <v>83</v>
      </c>
      <c r="B4" s="1" t="s">
        <v>208</v>
      </c>
      <c r="T4" s="1" t="s">
        <v>99</v>
      </c>
    </row>
    <row r="5" spans="1:20" x14ac:dyDescent="0.25">
      <c r="A5" s="4" t="s">
        <v>84</v>
      </c>
      <c r="B5" s="1" t="s">
        <v>203</v>
      </c>
      <c r="T5" s="1" t="s">
        <v>27</v>
      </c>
    </row>
    <row r="6" spans="1:20" x14ac:dyDescent="0.25">
      <c r="A6" s="4" t="s">
        <v>85</v>
      </c>
      <c r="B6" s="1" t="s">
        <v>200</v>
      </c>
      <c r="C6" s="1" t="s">
        <v>95</v>
      </c>
      <c r="D6" s="1" t="s">
        <v>29</v>
      </c>
      <c r="E6" s="1" t="s">
        <v>46</v>
      </c>
      <c r="F6" s="1" t="s">
        <v>47</v>
      </c>
      <c r="G6" s="1" t="s">
        <v>48</v>
      </c>
      <c r="H6" s="1">
        <v>9999</v>
      </c>
      <c r="I6" s="2" t="s">
        <v>49</v>
      </c>
      <c r="J6" s="1" t="s">
        <v>50</v>
      </c>
      <c r="K6" s="1" t="s">
        <v>51</v>
      </c>
      <c r="L6" s="1">
        <v>999999</v>
      </c>
      <c r="M6" s="1" t="s">
        <v>52</v>
      </c>
      <c r="N6" s="1" t="s">
        <v>53</v>
      </c>
      <c r="O6" s="1" t="s">
        <v>26</v>
      </c>
      <c r="P6" s="1">
        <v>9999999999</v>
      </c>
      <c r="Q6" s="1" t="s">
        <v>54</v>
      </c>
      <c r="T6" s="1" t="s">
        <v>43</v>
      </c>
    </row>
    <row r="7" spans="1:20" x14ac:dyDescent="0.25">
      <c r="A7" s="4" t="s">
        <v>86</v>
      </c>
      <c r="B7" s="1" t="s">
        <v>209</v>
      </c>
      <c r="I7" s="2"/>
      <c r="T7" s="1" t="s">
        <v>98</v>
      </c>
    </row>
    <row r="8" spans="1:20" x14ac:dyDescent="0.25">
      <c r="A8" s="4" t="s">
        <v>87</v>
      </c>
      <c r="B8" s="1" t="s">
        <v>210</v>
      </c>
      <c r="I8" s="2"/>
      <c r="T8" s="1" t="s">
        <v>44</v>
      </c>
    </row>
    <row r="9" spans="1:20" x14ac:dyDescent="0.25">
      <c r="A9" s="4" t="s">
        <v>88</v>
      </c>
      <c r="B9" s="1" t="s">
        <v>201</v>
      </c>
      <c r="C9" s="1" t="s">
        <v>45</v>
      </c>
      <c r="D9" s="1" t="s">
        <v>29</v>
      </c>
      <c r="E9" s="1" t="s">
        <v>30</v>
      </c>
      <c r="F9" s="1" t="s">
        <v>31</v>
      </c>
      <c r="G9" s="1" t="s">
        <v>25</v>
      </c>
      <c r="H9" s="1">
        <v>1234</v>
      </c>
      <c r="I9" s="2" t="s">
        <v>32</v>
      </c>
      <c r="J9" s="1" t="s">
        <v>93</v>
      </c>
      <c r="K9" s="1" t="s">
        <v>94</v>
      </c>
      <c r="L9" s="1">
        <v>380058</v>
      </c>
      <c r="M9" s="1" t="s">
        <v>21</v>
      </c>
      <c r="N9" s="1" t="s">
        <v>25</v>
      </c>
      <c r="O9" s="1" t="s">
        <v>26</v>
      </c>
      <c r="P9" s="1">
        <v>9898012345</v>
      </c>
      <c r="Q9" s="1" t="s">
        <v>56</v>
      </c>
      <c r="T9" s="1" t="s">
        <v>55</v>
      </c>
    </row>
    <row r="10" spans="1:20" x14ac:dyDescent="0.25">
      <c r="A10" s="4" t="s">
        <v>89</v>
      </c>
      <c r="B10" s="1" t="s">
        <v>205</v>
      </c>
      <c r="T10" s="1" t="s">
        <v>55</v>
      </c>
    </row>
    <row r="11" spans="1:20" x14ac:dyDescent="0.25">
      <c r="A11" s="4" t="s">
        <v>90</v>
      </c>
      <c r="B11" s="1" t="s">
        <v>211</v>
      </c>
      <c r="R11" s="1" t="s">
        <v>58</v>
      </c>
      <c r="S11" s="1" t="str">
        <f>CONCATENATE("Do you want to deactivate plant : ",C9," ?")</f>
        <v>Do you want to deactivate plant : Jekson Vision ?</v>
      </c>
      <c r="T11" s="1" t="str">
        <f>CONCATENATE("Plant : ",C9," Deactivated Successfully")</f>
        <v>Plant : Jekson Vision Deactivated Successfully</v>
      </c>
    </row>
    <row r="12" spans="1:20" x14ac:dyDescent="0.25">
      <c r="A12" s="4" t="s">
        <v>96</v>
      </c>
      <c r="B12" s="1" t="s">
        <v>202</v>
      </c>
      <c r="T12" s="1" t="str">
        <f>CONCATENATE("You can not edit de-activated plant : ",C9)</f>
        <v>You can not edit de-activated plant : Jekson Vision</v>
      </c>
    </row>
    <row r="13" spans="1:20" x14ac:dyDescent="0.25">
      <c r="A13" s="4" t="s">
        <v>97</v>
      </c>
      <c r="B13" s="1" t="s">
        <v>212</v>
      </c>
      <c r="R13" s="1" t="s">
        <v>57</v>
      </c>
      <c r="S13" s="1" t="str">
        <f>CONCATENATE("Do you want to activate plant : ",C9," ?")</f>
        <v>Do you want to activate plant : Jekson Vision ?</v>
      </c>
      <c r="T13" s="1" t="str">
        <f>CONCATENATE("Plant : ",C9," Activated Successfully")</f>
        <v>Plant : Jekson Vision Activated Successfully</v>
      </c>
    </row>
    <row r="14" spans="1:20" x14ac:dyDescent="0.25">
      <c r="A14" s="1" t="s">
        <v>100</v>
      </c>
      <c r="B14" s="1" t="s">
        <v>204</v>
      </c>
      <c r="T14" s="1" t="s">
        <v>101</v>
      </c>
    </row>
  </sheetData>
  <phoneticPr fontId="3" type="noConversion"/>
  <hyperlinks>
    <hyperlink ref="Q9" r:id="rId1" xr:uid="{9CE23873-114B-4D96-85B4-6ACEFCDE25EF}"/>
    <hyperlink ref="Q6" r:id="rId2" xr:uid="{70224C67-8853-4B47-807D-04D65EB783D7}"/>
  </hyperlinks>
  <pageMargins left="0.7" right="0.7" top="0.75" bottom="0.75" header="0.3" footer="0.3"/>
  <pageSetup paperSize="9"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8EF2C-3B5E-4414-BEF1-32FDD8AACC98}">
  <dimension ref="A1:H20"/>
  <sheetViews>
    <sheetView topLeftCell="C1" zoomScaleNormal="100" workbookViewId="0">
      <selection activeCell="F4" sqref="F4"/>
    </sheetView>
  </sheetViews>
  <sheetFormatPr defaultRowHeight="15" x14ac:dyDescent="0.25"/>
  <cols>
    <col min="1" max="1" width="18.28515625" style="4" bestFit="1" customWidth="1"/>
    <col min="2" max="2" width="84.5703125" style="4" bestFit="1" customWidth="1"/>
    <col min="3" max="3" width="18.28515625" style="9" bestFit="1" customWidth="1"/>
    <col min="4" max="4" width="15.5703125" style="9" bestFit="1" customWidth="1"/>
    <col min="5" max="5" width="22.140625" style="9" bestFit="1" customWidth="1"/>
    <col min="6" max="6" width="10.85546875" style="9" bestFit="1" customWidth="1"/>
    <col min="7" max="7" width="42.42578125" style="9" bestFit="1" customWidth="1"/>
    <col min="8" max="8" width="45.140625" style="9" bestFit="1" customWidth="1"/>
    <col min="9" max="16384" width="9.140625" style="4"/>
  </cols>
  <sheetData>
    <row r="1" spans="1:8" s="5" customFormat="1" x14ac:dyDescent="0.25">
      <c r="A1" s="5" t="s">
        <v>60</v>
      </c>
      <c r="B1" s="5" t="s">
        <v>71</v>
      </c>
      <c r="C1" s="5" t="s">
        <v>69</v>
      </c>
      <c r="D1" s="5" t="s">
        <v>62</v>
      </c>
      <c r="E1" s="5" t="s">
        <v>63</v>
      </c>
      <c r="F1" s="5" t="s">
        <v>70</v>
      </c>
      <c r="G1" s="5" t="s">
        <v>91</v>
      </c>
      <c r="H1" s="5" t="s">
        <v>66</v>
      </c>
    </row>
    <row r="2" spans="1:8" x14ac:dyDescent="0.25">
      <c r="A2" s="4" t="s">
        <v>72</v>
      </c>
      <c r="B2" s="4" t="s">
        <v>215</v>
      </c>
      <c r="H2" s="9" t="s">
        <v>59</v>
      </c>
    </row>
    <row r="3" spans="1:8" x14ac:dyDescent="0.25">
      <c r="A3" s="4" t="s">
        <v>73</v>
      </c>
      <c r="B3" s="1" t="s">
        <v>207</v>
      </c>
      <c r="H3" s="9" t="s">
        <v>61</v>
      </c>
    </row>
    <row r="4" spans="1:8" x14ac:dyDescent="0.25">
      <c r="A4" s="4" t="s">
        <v>74</v>
      </c>
      <c r="B4" s="3" t="s">
        <v>254</v>
      </c>
      <c r="D4" s="9" t="s">
        <v>249</v>
      </c>
      <c r="E4" s="9" t="s">
        <v>64</v>
      </c>
      <c r="F4" s="9" t="s">
        <v>916</v>
      </c>
      <c r="H4" s="14" t="str">
        <f>CONCATENATE("Role : ",D4," Added Successfully")</f>
        <v>Role : Plant Admin Added Successfully</v>
      </c>
    </row>
    <row r="5" spans="1:8" x14ac:dyDescent="0.25">
      <c r="A5" s="4" t="s">
        <v>75</v>
      </c>
      <c r="B5" s="3" t="s">
        <v>216</v>
      </c>
      <c r="D5" s="9" t="s">
        <v>250</v>
      </c>
      <c r="E5" s="9" t="s">
        <v>65</v>
      </c>
      <c r="F5" s="9" t="s">
        <v>916</v>
      </c>
      <c r="H5" s="14" t="str">
        <f>CONCATENATE("Role : ",D5," Added Successfully")</f>
        <v>Role : Temp QA Role Added Successfully</v>
      </c>
    </row>
    <row r="6" spans="1:8" x14ac:dyDescent="0.25">
      <c r="A6" s="4" t="s">
        <v>76</v>
      </c>
      <c r="B6" s="1" t="s">
        <v>210</v>
      </c>
      <c r="D6" s="9" t="str">
        <f>D5</f>
        <v>Temp QA Role</v>
      </c>
      <c r="H6" s="9" t="s">
        <v>67</v>
      </c>
    </row>
    <row r="7" spans="1:8" x14ac:dyDescent="0.25">
      <c r="A7" s="4" t="s">
        <v>77</v>
      </c>
      <c r="B7" s="3" t="s">
        <v>217</v>
      </c>
      <c r="C7" s="9" t="str">
        <f>D5</f>
        <v>Temp QA Role</v>
      </c>
      <c r="D7" s="9" t="s">
        <v>252</v>
      </c>
      <c r="E7" s="9" t="s">
        <v>251</v>
      </c>
      <c r="H7" s="14" t="str">
        <f>CONCATENATE("Role : ",D7," has updated successfully.")</f>
        <v>Role : Operator Admin has updated successfully.</v>
      </c>
    </row>
    <row r="8" spans="1:8" x14ac:dyDescent="0.25">
      <c r="A8" s="4" t="s">
        <v>78</v>
      </c>
      <c r="B8" s="3" t="s">
        <v>218</v>
      </c>
      <c r="D8" s="9" t="s">
        <v>252</v>
      </c>
      <c r="H8" s="9" t="s">
        <v>68</v>
      </c>
    </row>
    <row r="9" spans="1:8" x14ac:dyDescent="0.25">
      <c r="A9" s="4" t="s">
        <v>79</v>
      </c>
      <c r="B9" s="1" t="s">
        <v>220</v>
      </c>
      <c r="D9" s="9" t="s">
        <v>252</v>
      </c>
      <c r="F9" s="9" t="s">
        <v>917</v>
      </c>
      <c r="G9" s="14" t="str">
        <f>CONCATENATE("Do you want to deactivate : ",D9," ?")</f>
        <v>Do you want to deactivate : Operator Admin ?</v>
      </c>
      <c r="H9" s="14" t="str">
        <f>CONCATENATE("Role : ",D9," Successfully De-Activated")</f>
        <v>Role : Operator Admin Successfully De-Activated</v>
      </c>
    </row>
    <row r="10" spans="1:8" x14ac:dyDescent="0.25">
      <c r="A10" s="4" t="s">
        <v>80</v>
      </c>
      <c r="B10" s="1" t="s">
        <v>219</v>
      </c>
      <c r="D10" s="9" t="s">
        <v>252</v>
      </c>
      <c r="F10" s="9" t="s">
        <v>916</v>
      </c>
      <c r="G10" s="14" t="str">
        <f>CONCATENATE("Do you want to activate : ",D10," ?")</f>
        <v>Do you want to activate : Operator Admin ?</v>
      </c>
      <c r="H10" s="14" t="str">
        <f>CONCATENATE("Role : ",D10," Successfully Activated")</f>
        <v>Role : Operator Admin Successfully Activated</v>
      </c>
    </row>
    <row r="11" spans="1:8" x14ac:dyDescent="0.25">
      <c r="A11" s="1" t="s">
        <v>102</v>
      </c>
      <c r="B11" s="3" t="s">
        <v>253</v>
      </c>
      <c r="D11" s="9" t="s">
        <v>256</v>
      </c>
      <c r="E11" s="9" t="s">
        <v>65</v>
      </c>
      <c r="F11" s="9" t="s">
        <v>916</v>
      </c>
      <c r="H11" s="14" t="str">
        <f>CONCATENATE("Role : ",D11," Added Successfully")</f>
        <v>Role : QA Admin Added Successfully</v>
      </c>
    </row>
    <row r="12" spans="1:8" s="1" customFormat="1" x14ac:dyDescent="0.25">
      <c r="A12" s="1" t="s">
        <v>255</v>
      </c>
      <c r="B12" s="1" t="s">
        <v>204</v>
      </c>
      <c r="C12" s="9"/>
      <c r="D12" s="9" t="s">
        <v>252</v>
      </c>
      <c r="E12" s="8"/>
      <c r="F12" s="8"/>
      <c r="G12" s="8"/>
      <c r="H12" s="8" t="s">
        <v>101</v>
      </c>
    </row>
    <row r="13" spans="1:8" x14ac:dyDescent="0.25">
      <c r="B13" s="3"/>
      <c r="G13" s="14"/>
    </row>
    <row r="14" spans="1:8" x14ac:dyDescent="0.25">
      <c r="B14" s="3"/>
    </row>
    <row r="15" spans="1:8" x14ac:dyDescent="0.25">
      <c r="B15" s="3"/>
    </row>
    <row r="16" spans="1:8" x14ac:dyDescent="0.25">
      <c r="B16" s="3"/>
    </row>
    <row r="17" spans="2:2" x14ac:dyDescent="0.25">
      <c r="B17" s="3"/>
    </row>
    <row r="18" spans="2:2" x14ac:dyDescent="0.25">
      <c r="B18" s="3"/>
    </row>
    <row r="19" spans="2:2" x14ac:dyDescent="0.25">
      <c r="B19" s="3"/>
    </row>
    <row r="20" spans="2:2" x14ac:dyDescent="0.25">
      <c r="B20" s="1"/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5E8D7-8A43-4367-8FF6-65B6E14E5F1F}">
  <dimension ref="A1:M18"/>
  <sheetViews>
    <sheetView topLeftCell="C1" workbookViewId="0">
      <selection activeCell="J4" sqref="J4"/>
    </sheetView>
  </sheetViews>
  <sheetFormatPr defaultRowHeight="15" x14ac:dyDescent="0.25"/>
  <cols>
    <col min="1" max="1" width="18.28515625" style="8" bestFit="1" customWidth="1"/>
    <col min="2" max="2" width="107.28515625" style="1" customWidth="1"/>
    <col min="3" max="3" width="10.85546875" style="8" bestFit="1" customWidth="1"/>
    <col min="4" max="4" width="10.5703125" style="8" bestFit="1" customWidth="1"/>
    <col min="5" max="5" width="10.140625" style="8" bestFit="1" customWidth="1"/>
    <col min="6" max="6" width="15.5703125" style="8" bestFit="1" customWidth="1"/>
    <col min="7" max="7" width="14.140625" style="8" bestFit="1" customWidth="1"/>
    <col min="8" max="8" width="18.28515625" style="8" bestFit="1" customWidth="1"/>
    <col min="9" max="10" width="11" style="8" bestFit="1" customWidth="1"/>
    <col min="11" max="11" width="12.85546875" style="8" bestFit="1" customWidth="1"/>
    <col min="12" max="12" width="46.28515625" style="8" bestFit="1" customWidth="1"/>
    <col min="13" max="14" width="42.7109375" style="8" bestFit="1" customWidth="1"/>
    <col min="15" max="16384" width="9.140625" style="8"/>
  </cols>
  <sheetData>
    <row r="1" spans="1:13" x14ac:dyDescent="0.25">
      <c r="A1" s="5" t="s">
        <v>60</v>
      </c>
      <c r="B1" s="11" t="s">
        <v>71</v>
      </c>
      <c r="C1" s="5" t="s">
        <v>107</v>
      </c>
      <c r="D1" s="5" t="s">
        <v>113</v>
      </c>
      <c r="E1" s="5" t="s">
        <v>114</v>
      </c>
      <c r="F1" s="5" t="s">
        <v>115</v>
      </c>
      <c r="G1" s="5" t="s">
        <v>116</v>
      </c>
      <c r="H1" s="5" t="s">
        <v>117</v>
      </c>
      <c r="I1" s="5" t="s">
        <v>118</v>
      </c>
      <c r="J1" s="5" t="s">
        <v>108</v>
      </c>
      <c r="K1" s="5" t="s">
        <v>109</v>
      </c>
      <c r="L1" s="5" t="s">
        <v>91</v>
      </c>
      <c r="M1" s="5" t="s">
        <v>66</v>
      </c>
    </row>
    <row r="2" spans="1:13" x14ac:dyDescent="0.25">
      <c r="A2" s="9" t="s">
        <v>103</v>
      </c>
      <c r="B2" s="4" t="s">
        <v>221</v>
      </c>
      <c r="C2" s="9"/>
      <c r="D2" s="9"/>
      <c r="E2" s="9"/>
      <c r="F2" s="9"/>
      <c r="G2" s="9"/>
      <c r="H2" s="9"/>
      <c r="I2" s="9"/>
      <c r="J2" s="9"/>
      <c r="K2" s="9"/>
      <c r="L2" s="9"/>
      <c r="M2" s="9" t="s">
        <v>104</v>
      </c>
    </row>
    <row r="3" spans="1:13" s="9" customFormat="1" x14ac:dyDescent="0.25">
      <c r="A3" s="9" t="s">
        <v>105</v>
      </c>
      <c r="B3" s="1" t="s">
        <v>207</v>
      </c>
      <c r="K3" s="9" t="s">
        <v>110</v>
      </c>
      <c r="M3" s="9" t="s">
        <v>106</v>
      </c>
    </row>
    <row r="4" spans="1:13" s="9" customFormat="1" x14ac:dyDescent="0.25">
      <c r="A4" s="9" t="s">
        <v>111</v>
      </c>
      <c r="B4" s="1" t="s">
        <v>222</v>
      </c>
      <c r="C4" s="9" t="s">
        <v>112</v>
      </c>
      <c r="D4" s="9" t="s">
        <v>132</v>
      </c>
      <c r="E4" s="9" t="s">
        <v>133</v>
      </c>
      <c r="F4" s="9" t="s">
        <v>252</v>
      </c>
      <c r="G4" s="9" t="s">
        <v>134</v>
      </c>
      <c r="H4" s="8" t="s">
        <v>135</v>
      </c>
      <c r="I4" s="8">
        <v>8888888888</v>
      </c>
      <c r="J4" s="9" t="s">
        <v>57</v>
      </c>
      <c r="L4" s="10"/>
      <c r="M4" s="9" t="s">
        <v>9</v>
      </c>
    </row>
    <row r="5" spans="1:13" x14ac:dyDescent="0.25">
      <c r="A5" s="9" t="s">
        <v>122</v>
      </c>
      <c r="B5" s="1" t="s">
        <v>210</v>
      </c>
      <c r="C5" s="9" t="s">
        <v>112</v>
      </c>
      <c r="M5" s="8" t="s">
        <v>123</v>
      </c>
    </row>
    <row r="6" spans="1:13" x14ac:dyDescent="0.25">
      <c r="A6" s="9" t="s">
        <v>124</v>
      </c>
      <c r="B6" s="1" t="s">
        <v>223</v>
      </c>
      <c r="C6" s="9" t="s">
        <v>112</v>
      </c>
      <c r="K6" s="9" t="s">
        <v>110</v>
      </c>
    </row>
    <row r="7" spans="1:13" x14ac:dyDescent="0.25">
      <c r="A7" s="9" t="s">
        <v>125</v>
      </c>
      <c r="B7" s="1" t="s">
        <v>230</v>
      </c>
      <c r="C7" s="9" t="s">
        <v>112</v>
      </c>
      <c r="M7" s="8" t="s">
        <v>128</v>
      </c>
    </row>
    <row r="8" spans="1:13" x14ac:dyDescent="0.25">
      <c r="A8" s="9" t="s">
        <v>127</v>
      </c>
      <c r="B8" s="1" t="s">
        <v>224</v>
      </c>
      <c r="C8" s="9" t="s">
        <v>112</v>
      </c>
      <c r="L8" s="8" t="s">
        <v>126</v>
      </c>
      <c r="M8" s="8" t="s">
        <v>9</v>
      </c>
    </row>
    <row r="9" spans="1:13" x14ac:dyDescent="0.25">
      <c r="A9" s="9" t="s">
        <v>129</v>
      </c>
      <c r="B9" s="1" t="s">
        <v>225</v>
      </c>
      <c r="C9" s="9" t="s">
        <v>112</v>
      </c>
      <c r="L9" s="8" t="str">
        <f>CONCATENATE("Do you you want to logout selected user ",C9," ?")</f>
        <v>Do you you want to logout selected user Padmin ?</v>
      </c>
      <c r="M9" s="8" t="str">
        <f>CONCATENATE("User ",C9," successfully logout.")</f>
        <v>User Padmin successfully logout.</v>
      </c>
    </row>
    <row r="10" spans="1:13" x14ac:dyDescent="0.25">
      <c r="A10" s="9" t="s">
        <v>130</v>
      </c>
      <c r="B10" s="3" t="s">
        <v>231</v>
      </c>
      <c r="C10" s="9" t="s">
        <v>112</v>
      </c>
      <c r="D10" s="9" t="s">
        <v>132</v>
      </c>
      <c r="E10" s="9" t="s">
        <v>133</v>
      </c>
      <c r="F10" s="9" t="s">
        <v>252</v>
      </c>
      <c r="G10" s="9" t="s">
        <v>134</v>
      </c>
      <c r="H10" s="8" t="s">
        <v>135</v>
      </c>
      <c r="I10" s="8">
        <v>8888888888</v>
      </c>
      <c r="M10" s="8" t="str">
        <f>CONCATENATE("User is already exists with userName : ",C10)</f>
        <v>User is already exists with userName : Padmin</v>
      </c>
    </row>
    <row r="11" spans="1:13" x14ac:dyDescent="0.25">
      <c r="A11" s="9" t="s">
        <v>131</v>
      </c>
      <c r="B11" s="1" t="s">
        <v>227</v>
      </c>
      <c r="C11" s="8" t="s">
        <v>112</v>
      </c>
      <c r="D11" s="9" t="s">
        <v>120</v>
      </c>
      <c r="E11" s="9" t="s">
        <v>121</v>
      </c>
      <c r="F11" s="9" t="s">
        <v>249</v>
      </c>
      <c r="G11" s="9" t="s">
        <v>119</v>
      </c>
      <c r="H11" s="8" t="s">
        <v>54</v>
      </c>
      <c r="I11" s="8">
        <v>9825012345</v>
      </c>
      <c r="M11" s="8" t="str">
        <f>CONCATENATE("User : ",C11," Successfully Updated.")</f>
        <v>User : Padmin Successfully Updated.</v>
      </c>
    </row>
    <row r="12" spans="1:13" x14ac:dyDescent="0.25">
      <c r="A12" s="9" t="s">
        <v>136</v>
      </c>
      <c r="B12" s="1" t="s">
        <v>226</v>
      </c>
      <c r="C12" s="8" t="s">
        <v>112</v>
      </c>
      <c r="M12" s="8" t="str">
        <f>CONCATENATE("User : ",C12," Successfully Updated.")</f>
        <v>User : Padmin Successfully Updated.</v>
      </c>
    </row>
    <row r="13" spans="1:13" x14ac:dyDescent="0.25">
      <c r="A13" s="9" t="s">
        <v>137</v>
      </c>
      <c r="B13" s="1" t="s">
        <v>228</v>
      </c>
      <c r="C13" s="8" t="s">
        <v>112</v>
      </c>
      <c r="J13" s="9" t="s">
        <v>58</v>
      </c>
      <c r="L13" s="8" t="str">
        <f>CONCATENATE("Do you want to deactivate : ",C13," ?")</f>
        <v>Do you want to deactivate : Padmin ?</v>
      </c>
      <c r="M13" s="8" t="str">
        <f>CONCATENATE("User : ",C13," Successfully De-Activated")</f>
        <v>User : Padmin Successfully De-Activated</v>
      </c>
    </row>
    <row r="14" spans="1:13" x14ac:dyDescent="0.25">
      <c r="A14" s="9" t="s">
        <v>138</v>
      </c>
      <c r="B14" s="1" t="s">
        <v>229</v>
      </c>
      <c r="C14" s="8" t="s">
        <v>112</v>
      </c>
      <c r="J14" s="9" t="s">
        <v>57</v>
      </c>
      <c r="L14" s="8" t="str">
        <f>CONCATENATE("Do you want to activate : ",C14," ?")</f>
        <v>Do you want to activate : Padmin ?</v>
      </c>
      <c r="M14" s="8" t="str">
        <f>CONCATENATE("User : ",C14," Successfully Activated")</f>
        <v>User : Padmin Successfully Activated</v>
      </c>
    </row>
    <row r="15" spans="1:13" x14ac:dyDescent="0.25">
      <c r="A15" s="9" t="s">
        <v>240</v>
      </c>
      <c r="B15" s="1" t="s">
        <v>261</v>
      </c>
      <c r="C15" s="9" t="s">
        <v>262</v>
      </c>
      <c r="D15" s="9" t="s">
        <v>258</v>
      </c>
      <c r="E15" s="9" t="s">
        <v>259</v>
      </c>
      <c r="F15" s="9" t="s">
        <v>256</v>
      </c>
      <c r="G15" s="9" t="s">
        <v>260</v>
      </c>
      <c r="H15" s="8" t="s">
        <v>135</v>
      </c>
      <c r="I15" s="8">
        <v>9999999999</v>
      </c>
      <c r="J15" s="9" t="s">
        <v>57</v>
      </c>
      <c r="K15" s="9"/>
      <c r="L15" s="10"/>
      <c r="M15" s="9" t="s">
        <v>9</v>
      </c>
    </row>
    <row r="16" spans="1:13" x14ac:dyDescent="0.25">
      <c r="A16" s="9" t="s">
        <v>257</v>
      </c>
      <c r="B16" s="1" t="s">
        <v>264</v>
      </c>
      <c r="C16" s="9" t="s">
        <v>265</v>
      </c>
      <c r="D16" s="9" t="s">
        <v>266</v>
      </c>
      <c r="E16" s="9" t="s">
        <v>267</v>
      </c>
      <c r="F16" s="9" t="s">
        <v>252</v>
      </c>
      <c r="G16" s="9" t="s">
        <v>268</v>
      </c>
      <c r="H16" s="8" t="s">
        <v>135</v>
      </c>
      <c r="I16" s="8">
        <v>5555555555</v>
      </c>
      <c r="J16" s="9" t="s">
        <v>57</v>
      </c>
      <c r="K16" s="9"/>
      <c r="L16" s="10"/>
      <c r="M16" s="9" t="s">
        <v>9</v>
      </c>
    </row>
    <row r="17" spans="1:13" x14ac:dyDescent="0.25">
      <c r="A17" s="9" t="s">
        <v>263</v>
      </c>
      <c r="B17" s="1" t="s">
        <v>204</v>
      </c>
      <c r="C17" s="8" t="s">
        <v>112</v>
      </c>
      <c r="M17" s="8" t="s">
        <v>101</v>
      </c>
    </row>
    <row r="18" spans="1:13" x14ac:dyDescent="0.25">
      <c r="B18" s="3"/>
    </row>
  </sheetData>
  <hyperlinks>
    <hyperlink ref="H4" r:id="rId1" xr:uid="{BF784BD8-FCB8-444B-BCA4-15328E872670}"/>
    <hyperlink ref="H11" r:id="rId2" xr:uid="{980792FA-C72D-45AB-A479-166FBBD2DA79}"/>
    <hyperlink ref="H10" r:id="rId3" xr:uid="{E6758C21-0998-4B8B-B9AF-11E3D357F3EB}"/>
    <hyperlink ref="H15" r:id="rId4" xr:uid="{D4D56812-E284-4672-86D9-DAA304C05C42}"/>
    <hyperlink ref="H16" r:id="rId5" xr:uid="{2B415638-D923-4C1F-B874-25EC18F5306A}"/>
  </hyperlinks>
  <pageMargins left="0.7" right="0.7" top="0.75" bottom="0.75" header="0.3" footer="0.3"/>
  <pageSetup paperSize="9" orientation="portrait" r:id="rId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65442-F590-4808-AEDB-F585F750D929}">
  <dimension ref="A1:K16"/>
  <sheetViews>
    <sheetView workbookViewId="0">
      <selection activeCell="B16" sqref="B16"/>
    </sheetView>
  </sheetViews>
  <sheetFormatPr defaultRowHeight="15" x14ac:dyDescent="0.25"/>
  <cols>
    <col min="1" max="1" width="22.85546875" bestFit="1" customWidth="1"/>
    <col min="2" max="2" width="70" bestFit="1" customWidth="1"/>
    <col min="3" max="3" width="16" bestFit="1" customWidth="1"/>
    <col min="4" max="4" width="21.42578125" bestFit="1" customWidth="1"/>
    <col min="5" max="5" width="13.7109375" bestFit="1" customWidth="1"/>
    <col min="6" max="6" width="14.28515625" bestFit="1" customWidth="1"/>
    <col min="7" max="9" width="22.85546875" bestFit="1" customWidth="1"/>
    <col min="10" max="10" width="41.42578125" bestFit="1" customWidth="1"/>
    <col min="11" max="11" width="40.7109375" bestFit="1" customWidth="1"/>
    <col min="12" max="12" width="40.140625" bestFit="1" customWidth="1"/>
  </cols>
  <sheetData>
    <row r="1" spans="1:11" ht="30" x14ac:dyDescent="0.25">
      <c r="A1" s="5" t="s">
        <v>60</v>
      </c>
      <c r="B1" s="5" t="s">
        <v>71</v>
      </c>
      <c r="C1" s="13" t="s">
        <v>379</v>
      </c>
      <c r="D1" s="5" t="s">
        <v>355</v>
      </c>
      <c r="E1" s="5" t="s">
        <v>356</v>
      </c>
      <c r="F1" s="5" t="s">
        <v>357</v>
      </c>
      <c r="G1" s="5" t="s">
        <v>358</v>
      </c>
      <c r="H1" s="5" t="s">
        <v>359</v>
      </c>
      <c r="I1" s="5" t="s">
        <v>360</v>
      </c>
      <c r="J1" s="5" t="s">
        <v>91</v>
      </c>
      <c r="K1" s="7" t="s">
        <v>66</v>
      </c>
    </row>
    <row r="2" spans="1:11" x14ac:dyDescent="0.25">
      <c r="A2" t="s">
        <v>348</v>
      </c>
      <c r="B2" t="s">
        <v>354</v>
      </c>
      <c r="K2" t="s">
        <v>349</v>
      </c>
    </row>
    <row r="3" spans="1:11" x14ac:dyDescent="0.25">
      <c r="A3" t="s">
        <v>350</v>
      </c>
      <c r="B3" t="s">
        <v>207</v>
      </c>
      <c r="K3" t="s">
        <v>351</v>
      </c>
    </row>
    <row r="4" spans="1:11" x14ac:dyDescent="0.25">
      <c r="A4" t="s">
        <v>352</v>
      </c>
      <c r="B4" t="s">
        <v>353</v>
      </c>
      <c r="K4" s="1" t="s">
        <v>99</v>
      </c>
    </row>
    <row r="5" spans="1:11" x14ac:dyDescent="0.25">
      <c r="A5" t="s">
        <v>362</v>
      </c>
      <c r="B5" t="s">
        <v>363</v>
      </c>
      <c r="D5" t="s">
        <v>389</v>
      </c>
      <c r="E5" t="s">
        <v>361</v>
      </c>
      <c r="F5" t="s">
        <v>369</v>
      </c>
      <c r="G5" t="s">
        <v>368</v>
      </c>
      <c r="H5" t="s">
        <v>368</v>
      </c>
      <c r="I5" t="s">
        <v>368</v>
      </c>
      <c r="K5" s="1" t="str">
        <f>CONCATENATE(D5," added successfully.")</f>
        <v>Temp For Product added successfully.</v>
      </c>
    </row>
    <row r="6" spans="1:11" x14ac:dyDescent="0.25">
      <c r="A6" t="s">
        <v>367</v>
      </c>
      <c r="B6" t="s">
        <v>364</v>
      </c>
      <c r="D6" t="s">
        <v>392</v>
      </c>
      <c r="E6" t="s">
        <v>374</v>
      </c>
      <c r="F6" t="s">
        <v>369</v>
      </c>
      <c r="G6" t="s">
        <v>368</v>
      </c>
      <c r="H6" t="s">
        <v>368</v>
      </c>
      <c r="I6" t="s">
        <v>368</v>
      </c>
      <c r="K6" s="1" t="str">
        <f>CONCATENATE(D6," added successfully.")</f>
        <v>QA For Batch added successfully.</v>
      </c>
    </row>
    <row r="7" spans="1:11" x14ac:dyDescent="0.25">
      <c r="A7" t="s">
        <v>371</v>
      </c>
      <c r="B7" t="s">
        <v>370</v>
      </c>
      <c r="D7" t="s">
        <v>391</v>
      </c>
      <c r="E7" t="s">
        <v>361</v>
      </c>
      <c r="F7" t="s">
        <v>366</v>
      </c>
      <c r="G7" t="s">
        <v>365</v>
      </c>
      <c r="H7" t="s">
        <v>365</v>
      </c>
      <c r="I7" t="s">
        <v>365</v>
      </c>
      <c r="K7" s="1" t="str">
        <f t="shared" ref="K7:K8" si="0">CONCATENATE(D7," added successfully.")</f>
        <v>Final For Product added successfully.</v>
      </c>
    </row>
    <row r="8" spans="1:11" x14ac:dyDescent="0.25">
      <c r="A8" t="s">
        <v>373</v>
      </c>
      <c r="B8" t="s">
        <v>372</v>
      </c>
      <c r="D8" t="s">
        <v>582</v>
      </c>
      <c r="E8" t="s">
        <v>374</v>
      </c>
      <c r="F8" t="s">
        <v>366</v>
      </c>
      <c r="G8" t="s">
        <v>365</v>
      </c>
      <c r="H8" t="s">
        <v>365</v>
      </c>
      <c r="I8" t="s">
        <v>365</v>
      </c>
      <c r="K8" s="1" t="str">
        <f t="shared" si="0"/>
        <v>Final For Batch added successfully.</v>
      </c>
    </row>
    <row r="9" spans="1:11" x14ac:dyDescent="0.25">
      <c r="A9" t="s">
        <v>375</v>
      </c>
      <c r="B9" s="1" t="s">
        <v>376</v>
      </c>
      <c r="C9" s="1"/>
      <c r="D9" t="s">
        <v>582</v>
      </c>
      <c r="E9" t="s">
        <v>374</v>
      </c>
      <c r="F9" t="s">
        <v>366</v>
      </c>
      <c r="G9" t="s">
        <v>365</v>
      </c>
      <c r="H9" t="s">
        <v>365</v>
      </c>
      <c r="I9" t="s">
        <v>365</v>
      </c>
      <c r="K9" s="1" t="str">
        <f>CONCATENATE("Hierarchy exists with name : ",D9,".")</f>
        <v>Hierarchy exists with name : Final For Batch.</v>
      </c>
    </row>
    <row r="10" spans="1:11" x14ac:dyDescent="0.25">
      <c r="A10" t="s">
        <v>377</v>
      </c>
      <c r="B10" t="s">
        <v>210</v>
      </c>
      <c r="C10" t="str">
        <f>D6</f>
        <v>QA For Batch</v>
      </c>
      <c r="K10" s="1" t="s">
        <v>378</v>
      </c>
    </row>
    <row r="11" spans="1:11" x14ac:dyDescent="0.25">
      <c r="A11" t="s">
        <v>384</v>
      </c>
      <c r="B11" t="s">
        <v>383</v>
      </c>
      <c r="C11" t="str">
        <f>D6</f>
        <v>QA For Batch</v>
      </c>
      <c r="D11" t="s">
        <v>390</v>
      </c>
      <c r="E11" t="s">
        <v>374</v>
      </c>
      <c r="F11" t="s">
        <v>369</v>
      </c>
      <c r="G11" t="s">
        <v>380</v>
      </c>
      <c r="H11" t="s">
        <v>382</v>
      </c>
      <c r="I11" t="s">
        <v>381</v>
      </c>
      <c r="K11" s="1" t="str">
        <f>CONCATENATE(D11," updated successfully.")</f>
        <v>Temp For Batch updated successfully.</v>
      </c>
    </row>
    <row r="12" spans="1:11" x14ac:dyDescent="0.25">
      <c r="A12" t="s">
        <v>385</v>
      </c>
      <c r="B12" s="1" t="s">
        <v>387</v>
      </c>
      <c r="C12" t="str">
        <f>D11</f>
        <v>Temp For Batch</v>
      </c>
      <c r="J12" t="str">
        <f>CONCATENATE("Do you want to deactivate : ",C12," ?")</f>
        <v>Do you want to deactivate : Temp For Batch ?</v>
      </c>
      <c r="K12" s="1" t="str">
        <f>CONCATENATE(C12," deactivated successfully.")</f>
        <v>Temp For Batch deactivated successfully.</v>
      </c>
    </row>
    <row r="13" spans="1:11" x14ac:dyDescent="0.25">
      <c r="A13" t="s">
        <v>386</v>
      </c>
      <c r="B13" s="1" t="s">
        <v>388</v>
      </c>
      <c r="C13" t="str">
        <f>D11</f>
        <v>Temp For Batch</v>
      </c>
      <c r="J13" t="str">
        <f>CONCATENATE("Do you want to activate : ",C13," ?")</f>
        <v>Do you want to activate : Temp For Batch ?</v>
      </c>
      <c r="K13" s="1" t="str">
        <f>CONCATENATE(C13," activated successfully.")</f>
        <v>Temp For Batch activated successfully.</v>
      </c>
    </row>
    <row r="14" spans="1:11" x14ac:dyDescent="0.25">
      <c r="A14" t="s">
        <v>393</v>
      </c>
      <c r="B14" s="1" t="s">
        <v>395</v>
      </c>
      <c r="C14" t="s">
        <v>391</v>
      </c>
      <c r="K14" s="1" t="str">
        <f>CONCATENATE(C14," updated successfully.")</f>
        <v>Final For Product updated successfully.</v>
      </c>
    </row>
    <row r="15" spans="1:11" x14ac:dyDescent="0.25">
      <c r="A15" t="s">
        <v>394</v>
      </c>
      <c r="B15" s="1" t="s">
        <v>204</v>
      </c>
      <c r="C15" t="str">
        <f>D11</f>
        <v>Temp For Batch</v>
      </c>
      <c r="K15" s="1" t="s">
        <v>396</v>
      </c>
    </row>
    <row r="16" spans="1:11" x14ac:dyDescent="0.25">
      <c r="A16" t="s">
        <v>583</v>
      </c>
      <c r="B16" s="1" t="s">
        <v>395</v>
      </c>
      <c r="C16" t="s">
        <v>582</v>
      </c>
      <c r="K16" s="1" t="str">
        <f>CONCATENATE(C16," updated successfully.")</f>
        <v>Final For Batch updated successfully.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43417-0C1F-4648-BA3E-DD8C6980A1A6}">
  <dimension ref="A1:L19"/>
  <sheetViews>
    <sheetView workbookViewId="0">
      <selection activeCell="D18" sqref="D18"/>
    </sheetView>
  </sheetViews>
  <sheetFormatPr defaultRowHeight="15" x14ac:dyDescent="0.25"/>
  <cols>
    <col min="1" max="1" width="18" style="8" bestFit="1" customWidth="1"/>
    <col min="2" max="2" width="55" style="8" bestFit="1" customWidth="1"/>
    <col min="3" max="3" width="18" style="8" bestFit="1" customWidth="1"/>
    <col min="4" max="4" width="15.140625" style="8" bestFit="1" customWidth="1"/>
    <col min="5" max="5" width="10.7109375" style="8" bestFit="1" customWidth="1"/>
    <col min="6" max="6" width="12.7109375" style="8" bestFit="1" customWidth="1"/>
    <col min="7" max="8" width="11.7109375" style="8" bestFit="1" customWidth="1"/>
    <col min="9" max="9" width="7.140625" style="8" bestFit="1" customWidth="1"/>
    <col min="10" max="10" width="11.7109375" style="8" bestFit="1" customWidth="1"/>
    <col min="11" max="11" width="49.85546875" style="8" bestFit="1" customWidth="1"/>
    <col min="12" max="12" width="39.5703125" style="8" bestFit="1" customWidth="1"/>
    <col min="13" max="13" width="33.42578125" style="8" bestFit="1" customWidth="1"/>
    <col min="14" max="16384" width="9.140625" style="8"/>
  </cols>
  <sheetData>
    <row r="1" spans="1:12" x14ac:dyDescent="0.25">
      <c r="A1" s="5" t="s">
        <v>60</v>
      </c>
      <c r="B1" s="5" t="s">
        <v>71</v>
      </c>
      <c r="C1" s="5" t="s">
        <v>164</v>
      </c>
      <c r="D1" s="5" t="s">
        <v>163</v>
      </c>
      <c r="E1" s="5" t="s">
        <v>326</v>
      </c>
      <c r="F1" s="5" t="s">
        <v>143</v>
      </c>
      <c r="G1" s="5" t="s">
        <v>144</v>
      </c>
      <c r="H1" s="5" t="s">
        <v>145</v>
      </c>
      <c r="I1" s="5" t="s">
        <v>327</v>
      </c>
      <c r="J1" s="5" t="s">
        <v>146</v>
      </c>
      <c r="K1" s="5" t="s">
        <v>91</v>
      </c>
      <c r="L1" s="5" t="s">
        <v>66</v>
      </c>
    </row>
    <row r="2" spans="1:12" x14ac:dyDescent="0.25">
      <c r="A2" s="8" t="s">
        <v>139</v>
      </c>
      <c r="B2" s="4" t="s">
        <v>232</v>
      </c>
      <c r="L2" s="8" t="s">
        <v>140</v>
      </c>
    </row>
    <row r="3" spans="1:12" x14ac:dyDescent="0.25">
      <c r="A3" s="8" t="s">
        <v>141</v>
      </c>
      <c r="B3" s="1" t="s">
        <v>207</v>
      </c>
      <c r="L3" s="8" t="s">
        <v>142</v>
      </c>
    </row>
    <row r="4" spans="1:12" x14ac:dyDescent="0.25">
      <c r="A4" s="8" t="s">
        <v>147</v>
      </c>
      <c r="B4" s="1" t="s">
        <v>233</v>
      </c>
      <c r="D4" s="8" t="s">
        <v>159</v>
      </c>
      <c r="F4" s="8" t="s">
        <v>149</v>
      </c>
      <c r="G4" s="8" t="s">
        <v>150</v>
      </c>
      <c r="H4" s="8" t="s">
        <v>151</v>
      </c>
      <c r="J4" s="8" t="s">
        <v>161</v>
      </c>
      <c r="L4" s="8" t="str">
        <f>CONCATENATE("Line : ",D4," Added successfully.")</f>
        <v>Line : Test_2346 Added successfully.</v>
      </c>
    </row>
    <row r="5" spans="1:12" x14ac:dyDescent="0.25">
      <c r="A5" s="8" t="s">
        <v>152</v>
      </c>
      <c r="B5" s="1" t="s">
        <v>210</v>
      </c>
      <c r="C5" s="8" t="s">
        <v>159</v>
      </c>
      <c r="L5" s="8" t="s">
        <v>158</v>
      </c>
    </row>
    <row r="6" spans="1:12" x14ac:dyDescent="0.25">
      <c r="A6" s="8" t="s">
        <v>157</v>
      </c>
      <c r="B6" s="1" t="s">
        <v>234</v>
      </c>
      <c r="C6" s="8" t="s">
        <v>159</v>
      </c>
      <c r="D6" s="8" t="s">
        <v>148</v>
      </c>
      <c r="F6" s="8" t="s">
        <v>153</v>
      </c>
      <c r="G6" s="8" t="s">
        <v>149</v>
      </c>
      <c r="H6" s="8" t="s">
        <v>150</v>
      </c>
      <c r="J6" s="8" t="s">
        <v>151</v>
      </c>
      <c r="L6" s="8" t="str">
        <f>CONCATENATE("Line : ",D6," updated successfully.")</f>
        <v>Line : Line_2346 updated successfully.</v>
      </c>
    </row>
    <row r="7" spans="1:12" x14ac:dyDescent="0.25">
      <c r="A7" s="8" t="s">
        <v>162</v>
      </c>
      <c r="B7" s="1" t="s">
        <v>235</v>
      </c>
      <c r="D7" s="8" t="s">
        <v>148</v>
      </c>
      <c r="F7" s="8" t="s">
        <v>154</v>
      </c>
      <c r="G7" s="8" t="s">
        <v>155</v>
      </c>
      <c r="H7" s="8" t="s">
        <v>156</v>
      </c>
      <c r="J7" s="8" t="s">
        <v>160</v>
      </c>
      <c r="L7" s="8" t="str">
        <f>CONCATENATE("Line : ",D7," is already exists on server.")</f>
        <v>Line : Line_2346 is already exists on server.</v>
      </c>
    </row>
    <row r="8" spans="1:12" x14ac:dyDescent="0.25">
      <c r="A8" s="8" t="s">
        <v>165</v>
      </c>
      <c r="B8" s="1" t="s">
        <v>236</v>
      </c>
      <c r="C8" s="8" t="s">
        <v>148</v>
      </c>
      <c r="K8" s="8" t="str">
        <f>CONCATENATE("Are you sure you want to Deactivate Line : ",C8," ?")</f>
        <v>Are you sure you want to Deactivate Line : Line_2346 ?</v>
      </c>
      <c r="L8" s="8" t="str">
        <f>CONCATENATE("Line : ",C8," deactivated successfully.")</f>
        <v>Line : Line_2346 deactivated successfully.</v>
      </c>
    </row>
    <row r="9" spans="1:12" x14ac:dyDescent="0.25">
      <c r="A9" s="8" t="s">
        <v>166</v>
      </c>
      <c r="B9" s="1" t="s">
        <v>237</v>
      </c>
      <c r="C9" s="8" t="s">
        <v>148</v>
      </c>
      <c r="K9" s="8" t="str">
        <f>CONCATENATE("Are you sure you want to Activate Line : ",C9," ?")</f>
        <v>Are you sure you want to Activate Line : Line_2346 ?</v>
      </c>
      <c r="L9" s="8" t="str">
        <f>CONCATENATE("Line: ",C9," activated successfully.")</f>
        <v>Line: Line_2346 activated successfully.</v>
      </c>
    </row>
    <row r="10" spans="1:12" x14ac:dyDescent="0.25">
      <c r="A10" s="8" t="s">
        <v>239</v>
      </c>
      <c r="B10" s="1" t="s">
        <v>204</v>
      </c>
      <c r="C10" s="8" t="s">
        <v>148</v>
      </c>
      <c r="L10" s="8" t="s">
        <v>101</v>
      </c>
    </row>
    <row r="11" spans="1:12" x14ac:dyDescent="0.25">
      <c r="A11" s="8" t="s">
        <v>328</v>
      </c>
      <c r="B11" s="1" t="s">
        <v>329</v>
      </c>
      <c r="C11" s="8" t="s">
        <v>325</v>
      </c>
      <c r="D11" s="8" t="s">
        <v>325</v>
      </c>
      <c r="E11" s="8" t="s">
        <v>149</v>
      </c>
      <c r="F11" s="8" t="s">
        <v>150</v>
      </c>
      <c r="L11" s="8" t="str">
        <f>CONCATENATE("Line : ",D11," Added successfully.")</f>
        <v>Line : Line_12 Added successfully.</v>
      </c>
    </row>
    <row r="12" spans="1:12" x14ac:dyDescent="0.25">
      <c r="A12" s="8" t="s">
        <v>342</v>
      </c>
      <c r="B12" s="1" t="s">
        <v>336</v>
      </c>
      <c r="D12" s="8" t="s">
        <v>331</v>
      </c>
      <c r="E12" s="8" t="s">
        <v>149</v>
      </c>
      <c r="F12" s="8" t="s">
        <v>150</v>
      </c>
      <c r="G12" s="8" t="s">
        <v>151</v>
      </c>
      <c r="L12" s="8" t="str">
        <f>CONCATENATE("Line : ",D12," Added successfully.")</f>
        <v>Line : Line_123 Added successfully.</v>
      </c>
    </row>
    <row r="13" spans="1:12" x14ac:dyDescent="0.25">
      <c r="A13" s="8" t="s">
        <v>343</v>
      </c>
      <c r="B13" s="1" t="s">
        <v>337</v>
      </c>
      <c r="D13" s="8" t="s">
        <v>333</v>
      </c>
      <c r="E13" s="8" t="s">
        <v>149</v>
      </c>
      <c r="F13" s="8" t="s">
        <v>150</v>
      </c>
      <c r="J13" s="8" t="s">
        <v>151</v>
      </c>
      <c r="L13" s="8" t="str">
        <f>CONCATENATE("Line : ",D13," Added successfully.")</f>
        <v>Line : Line_126 Added successfully.</v>
      </c>
    </row>
    <row r="14" spans="1:12" x14ac:dyDescent="0.25">
      <c r="A14" s="8" t="s">
        <v>344</v>
      </c>
      <c r="B14" s="1" t="s">
        <v>341</v>
      </c>
      <c r="D14" s="8" t="s">
        <v>335</v>
      </c>
      <c r="E14" s="8" t="s">
        <v>149</v>
      </c>
      <c r="F14" s="8" t="s">
        <v>150</v>
      </c>
      <c r="G14" s="8" t="s">
        <v>151</v>
      </c>
      <c r="J14" s="8" t="s">
        <v>161</v>
      </c>
      <c r="L14" s="8" t="str">
        <f>CONCATENATE("Line : ",D14," Added successfully.")</f>
        <v>Line : Line_1236 Added successfully.</v>
      </c>
    </row>
    <row r="15" spans="1:12" x14ac:dyDescent="0.25">
      <c r="A15" s="8" t="s">
        <v>345</v>
      </c>
      <c r="B15" s="1" t="s">
        <v>338</v>
      </c>
      <c r="D15" s="8" t="s">
        <v>334</v>
      </c>
      <c r="F15" s="8" t="s">
        <v>149</v>
      </c>
      <c r="L15" s="8" t="str">
        <f t="shared" ref="L15" si="0">CONCATENATE("Line : ",D15," Added successfully.")</f>
        <v>Line : Line_2 Added successfully.</v>
      </c>
    </row>
    <row r="16" spans="1:12" x14ac:dyDescent="0.25">
      <c r="A16" s="8" t="s">
        <v>346</v>
      </c>
      <c r="B16" s="1" t="s">
        <v>339</v>
      </c>
      <c r="D16" s="8" t="s">
        <v>330</v>
      </c>
      <c r="F16" s="8" t="s">
        <v>149</v>
      </c>
      <c r="G16" s="8" t="s">
        <v>150</v>
      </c>
      <c r="L16" s="8" t="str">
        <f t="shared" ref="L16:L17" si="1">CONCATENATE("Line : ",D16," Added successfully.")</f>
        <v>Line : Line_23 Added successfully.</v>
      </c>
    </row>
    <row r="17" spans="1:12" x14ac:dyDescent="0.25">
      <c r="A17" s="8" t="s">
        <v>347</v>
      </c>
      <c r="B17" s="1" t="s">
        <v>340</v>
      </c>
      <c r="D17" s="8" t="s">
        <v>332</v>
      </c>
      <c r="F17" s="8" t="s">
        <v>149</v>
      </c>
      <c r="G17" s="8" t="s">
        <v>150</v>
      </c>
      <c r="J17" s="8" t="s">
        <v>151</v>
      </c>
      <c r="L17" s="8" t="str">
        <f t="shared" si="1"/>
        <v>Line : Line_236 Added successfully.</v>
      </c>
    </row>
    <row r="18" spans="1:12" x14ac:dyDescent="0.25">
      <c r="A18" s="8" t="s">
        <v>610</v>
      </c>
      <c r="B18" s="1" t="s">
        <v>612</v>
      </c>
      <c r="D18" s="8" t="s">
        <v>613</v>
      </c>
      <c r="G18" s="8" t="s">
        <v>149</v>
      </c>
      <c r="L18" s="8" t="str">
        <f>CONCATENATE("Line : ",D18," Added successfully.")</f>
        <v>Line : Line_3 Added successfully.</v>
      </c>
    </row>
    <row r="19" spans="1:12" x14ac:dyDescent="0.25">
      <c r="A19" s="8" t="s">
        <v>611</v>
      </c>
      <c r="B19" s="1" t="s">
        <v>652</v>
      </c>
      <c r="D19" s="8" t="s">
        <v>653</v>
      </c>
      <c r="F19" s="8" t="s">
        <v>149</v>
      </c>
      <c r="G19" s="8" t="s">
        <v>150</v>
      </c>
      <c r="H19" s="8" t="s">
        <v>151</v>
      </c>
      <c r="L19" s="8" t="str">
        <f>CONCATENATE("Line : ",D19," Added successfully.")</f>
        <v>Line : Line_234 Added successfully.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FECAD-7B1B-413A-BFC5-A92859271978}">
  <dimension ref="A1:L20"/>
  <sheetViews>
    <sheetView workbookViewId="0">
      <selection activeCell="D10" sqref="D10"/>
    </sheetView>
  </sheetViews>
  <sheetFormatPr defaultRowHeight="15" x14ac:dyDescent="0.25"/>
  <cols>
    <col min="1" max="1" width="16.28515625" bestFit="1" customWidth="1"/>
    <col min="2" max="2" width="54.85546875" bestFit="1" customWidth="1"/>
    <col min="3" max="3" width="22" style="8" customWidth="1"/>
    <col min="4" max="4" width="15.7109375" style="8" customWidth="1"/>
    <col min="5" max="5" width="13.7109375" style="8" bestFit="1" customWidth="1"/>
    <col min="6" max="6" width="22.42578125" style="8" bestFit="1" customWidth="1"/>
    <col min="7" max="7" width="8.28515625" style="8" bestFit="1" customWidth="1"/>
    <col min="8" max="8" width="8" style="8" bestFit="1" customWidth="1"/>
    <col min="9" max="9" width="9.140625" style="8" bestFit="1" customWidth="1"/>
    <col min="10" max="10" width="9.85546875" style="8" bestFit="1" customWidth="1"/>
    <col min="11" max="11" width="55.140625" style="8" bestFit="1" customWidth="1"/>
    <col min="12" max="12" width="62" style="8" bestFit="1" customWidth="1"/>
  </cols>
  <sheetData>
    <row r="1" spans="1:12" x14ac:dyDescent="0.25">
      <c r="A1" s="5" t="s">
        <v>60</v>
      </c>
      <c r="B1" s="5" t="s">
        <v>71</v>
      </c>
      <c r="C1" s="12" t="s">
        <v>182</v>
      </c>
      <c r="D1" s="12" t="s">
        <v>181</v>
      </c>
      <c r="E1" s="12" t="s">
        <v>180</v>
      </c>
      <c r="F1" s="12" t="s">
        <v>171</v>
      </c>
      <c r="G1" s="12" t="s">
        <v>172</v>
      </c>
      <c r="H1" s="12" t="s">
        <v>173</v>
      </c>
      <c r="I1" s="12" t="s">
        <v>174</v>
      </c>
      <c r="J1" s="12" t="s">
        <v>175</v>
      </c>
      <c r="K1" s="5" t="s">
        <v>91</v>
      </c>
      <c r="L1" s="5" t="s">
        <v>66</v>
      </c>
    </row>
    <row r="2" spans="1:12" x14ac:dyDescent="0.25">
      <c r="A2" t="s">
        <v>167</v>
      </c>
      <c r="B2" s="4" t="s">
        <v>242</v>
      </c>
      <c r="L2" s="8" t="s">
        <v>168</v>
      </c>
    </row>
    <row r="3" spans="1:12" x14ac:dyDescent="0.25">
      <c r="A3" t="s">
        <v>169</v>
      </c>
      <c r="B3" t="s">
        <v>207</v>
      </c>
      <c r="L3" s="8" t="s">
        <v>170</v>
      </c>
    </row>
    <row r="4" spans="1:12" x14ac:dyDescent="0.25">
      <c r="A4" t="s">
        <v>176</v>
      </c>
      <c r="B4" t="s">
        <v>178</v>
      </c>
      <c r="F4" s="8" t="s">
        <v>29</v>
      </c>
      <c r="G4" s="8">
        <v>9</v>
      </c>
      <c r="H4" s="8">
        <v>1111111</v>
      </c>
      <c r="I4" s="8">
        <v>10</v>
      </c>
      <c r="J4" s="8">
        <v>5</v>
      </c>
      <c r="L4" s="8" t="str">
        <f>CONCATENATE("SSCC Pool detail : ",G4,"-",H4," Added successfully")</f>
        <v>SSCC Pool detail : 9-1111111 Added successfully</v>
      </c>
    </row>
    <row r="5" spans="1:12" x14ac:dyDescent="0.25">
      <c r="A5" t="s">
        <v>179</v>
      </c>
      <c r="B5" t="s">
        <v>177</v>
      </c>
      <c r="C5" s="8" t="str">
        <f t="shared" ref="C5:E6" si="0">F4</f>
        <v>JEKSON</v>
      </c>
      <c r="D5" s="8">
        <f t="shared" si="0"/>
        <v>9</v>
      </c>
      <c r="E5" s="8">
        <f t="shared" si="0"/>
        <v>1111111</v>
      </c>
      <c r="F5" s="8" t="s">
        <v>29</v>
      </c>
      <c r="G5" s="8">
        <v>1</v>
      </c>
      <c r="H5" s="8">
        <v>5500123</v>
      </c>
      <c r="I5" s="8">
        <v>100</v>
      </c>
      <c r="J5" s="8">
        <v>50</v>
      </c>
      <c r="L5" s="8" t="str">
        <f>CONCATENATE("SSCC Pool detail : ",G5,"-",H5," updated successfully")</f>
        <v>SSCC Pool detail : 1-5500123 updated successfully</v>
      </c>
    </row>
    <row r="6" spans="1:12" x14ac:dyDescent="0.25">
      <c r="A6" t="s">
        <v>183</v>
      </c>
      <c r="B6" t="s">
        <v>184</v>
      </c>
      <c r="C6" s="8" t="str">
        <f t="shared" si="0"/>
        <v>JEKSON</v>
      </c>
      <c r="D6" s="8">
        <f t="shared" si="0"/>
        <v>1</v>
      </c>
      <c r="E6" s="8">
        <f t="shared" si="0"/>
        <v>5500123</v>
      </c>
      <c r="K6" s="8" t="str">
        <f>CONCATENATE("Are you sure you want to Deactivate SSCC pool : ",D6,"-",E6," ?")</f>
        <v>Are you sure you want to Deactivate SSCC pool : 1-5500123 ?</v>
      </c>
      <c r="L6" s="8" t="str">
        <f>CONCATENATE("SSCC pool details : ",D6,"-",E6," has Deactivated successfully")</f>
        <v>SSCC pool details : 1-5500123 has Deactivated successfully</v>
      </c>
    </row>
    <row r="7" spans="1:12" x14ac:dyDescent="0.25">
      <c r="A7" t="s">
        <v>185</v>
      </c>
      <c r="B7" t="s">
        <v>186</v>
      </c>
      <c r="C7" s="8" t="str">
        <f>C6</f>
        <v>JEKSON</v>
      </c>
      <c r="D7" s="8">
        <f t="shared" ref="D7:E7" si="1">D6</f>
        <v>1</v>
      </c>
      <c r="E7" s="8">
        <f t="shared" si="1"/>
        <v>5500123</v>
      </c>
      <c r="K7" s="8" t="str">
        <f>CONCATENATE("Are you sure you want to Activate SSCC pool : ",D7,"-",E7," ?")</f>
        <v>Are you sure you want to Activate SSCC pool : 1-5500123 ?</v>
      </c>
      <c r="L7" s="8" t="str">
        <f>CONCATENATE("SSCC pool details : ",D7,"-",E7," has Activated successfully")</f>
        <v>SSCC pool details : 1-5500123 has Activated successfully</v>
      </c>
    </row>
    <row r="8" spans="1:12" x14ac:dyDescent="0.25">
      <c r="A8" t="s">
        <v>188</v>
      </c>
      <c r="B8" s="1" t="s">
        <v>238</v>
      </c>
      <c r="F8" s="8" t="str">
        <f>F5</f>
        <v>JEKSON</v>
      </c>
      <c r="G8" s="8">
        <f>G5</f>
        <v>1</v>
      </c>
      <c r="H8" s="8">
        <f>H5</f>
        <v>5500123</v>
      </c>
      <c r="I8" s="8">
        <v>10</v>
      </c>
      <c r="J8" s="8">
        <v>5</v>
      </c>
      <c r="L8" s="8" t="s">
        <v>187</v>
      </c>
    </row>
    <row r="9" spans="1:12" x14ac:dyDescent="0.25">
      <c r="A9" t="s">
        <v>189</v>
      </c>
      <c r="B9" t="s">
        <v>244</v>
      </c>
      <c r="F9" s="8" t="s">
        <v>29</v>
      </c>
      <c r="G9" s="8">
        <v>2</v>
      </c>
      <c r="H9" s="8">
        <v>5500123</v>
      </c>
      <c r="I9" s="8">
        <v>100</v>
      </c>
      <c r="J9" s="8">
        <v>50</v>
      </c>
      <c r="L9" s="8" t="str">
        <f>CONCATENATE("SSCC Pool detail : ",G9,"-",H9," Added successfully")</f>
        <v>SSCC Pool detail : 2-5500123 Added successfully</v>
      </c>
    </row>
    <row r="10" spans="1:12" x14ac:dyDescent="0.25">
      <c r="A10" t="s">
        <v>243</v>
      </c>
      <c r="B10" t="s">
        <v>245</v>
      </c>
      <c r="F10" s="8" t="s">
        <v>29</v>
      </c>
      <c r="G10" s="8">
        <v>1</v>
      </c>
      <c r="H10" s="8">
        <v>8900123</v>
      </c>
      <c r="I10" s="8">
        <v>100</v>
      </c>
      <c r="J10" s="8">
        <v>50</v>
      </c>
      <c r="L10" s="8" t="str">
        <f t="shared" ref="L10:L11" si="2">CONCATENATE("SSCC Pool detail : ",G10,"-",H10," Added successfully")</f>
        <v>SSCC Pool detail : 1-8900123 Added successfully</v>
      </c>
    </row>
    <row r="11" spans="1:12" x14ac:dyDescent="0.25">
      <c r="A11" t="s">
        <v>247</v>
      </c>
      <c r="B11" t="s">
        <v>246</v>
      </c>
      <c r="F11" s="8" t="s">
        <v>29</v>
      </c>
      <c r="G11" s="8">
        <v>2</v>
      </c>
      <c r="H11" s="8">
        <v>8900123</v>
      </c>
      <c r="I11" s="8">
        <v>100</v>
      </c>
      <c r="J11" s="8">
        <v>50</v>
      </c>
      <c r="L11" s="8" t="str">
        <f t="shared" si="2"/>
        <v>SSCC Pool detail : 2-8900123 Added successfully</v>
      </c>
    </row>
    <row r="12" spans="1:12" x14ac:dyDescent="0.25">
      <c r="A12" t="s">
        <v>248</v>
      </c>
      <c r="B12" s="1" t="s">
        <v>204</v>
      </c>
      <c r="C12" s="8" t="s">
        <v>29</v>
      </c>
      <c r="D12" s="8">
        <v>2</v>
      </c>
      <c r="E12" s="8">
        <v>8900123</v>
      </c>
      <c r="L12" s="8" t="s">
        <v>396</v>
      </c>
    </row>
    <row r="13" spans="1:12" x14ac:dyDescent="0.25">
      <c r="A13" t="s">
        <v>740</v>
      </c>
      <c r="B13" t="s">
        <v>732</v>
      </c>
      <c r="F13" s="8" t="s">
        <v>718</v>
      </c>
      <c r="G13" s="8">
        <v>2</v>
      </c>
      <c r="H13" s="8">
        <v>1900123</v>
      </c>
      <c r="I13" s="8">
        <v>2</v>
      </c>
      <c r="J13" s="8">
        <v>1</v>
      </c>
      <c r="L13" s="8" t="str">
        <f>CONCATENATE("SSCC Pool detail : ",G13,"-",H13," Added successfully")</f>
        <v>SSCC Pool detail : 2-1900123 Added successfully</v>
      </c>
    </row>
    <row r="14" spans="1:12" x14ac:dyDescent="0.25">
      <c r="A14" t="s">
        <v>741</v>
      </c>
      <c r="B14" t="s">
        <v>734</v>
      </c>
      <c r="F14" s="8" t="s">
        <v>718</v>
      </c>
      <c r="G14" s="8">
        <v>9</v>
      </c>
      <c r="H14" s="8">
        <v>1900123</v>
      </c>
      <c r="I14" s="8">
        <v>2</v>
      </c>
      <c r="J14" s="8">
        <v>1</v>
      </c>
      <c r="L14" s="8" t="str">
        <f t="shared" ref="L14:L20" si="3">CONCATENATE("SSCC Pool detail : ",G14,"-",H14," Added successfully")</f>
        <v>SSCC Pool detail : 9-1900123 Added successfully</v>
      </c>
    </row>
    <row r="15" spans="1:12" x14ac:dyDescent="0.25">
      <c r="A15" t="s">
        <v>742</v>
      </c>
      <c r="B15" t="s">
        <v>733</v>
      </c>
      <c r="F15" s="8" t="s">
        <v>722</v>
      </c>
      <c r="G15" s="8">
        <v>2</v>
      </c>
      <c r="H15" s="8">
        <v>1100123</v>
      </c>
      <c r="I15" s="8">
        <v>2</v>
      </c>
      <c r="J15" s="8">
        <v>1</v>
      </c>
      <c r="L15" s="8" t="str">
        <f t="shared" si="3"/>
        <v>SSCC Pool detail : 2-1100123 Added successfully</v>
      </c>
    </row>
    <row r="16" spans="1:12" x14ac:dyDescent="0.25">
      <c r="A16" t="s">
        <v>743</v>
      </c>
      <c r="B16" t="s">
        <v>735</v>
      </c>
      <c r="F16" s="8" t="s">
        <v>722</v>
      </c>
      <c r="G16" s="8">
        <v>9</v>
      </c>
      <c r="H16" s="8">
        <v>1100123</v>
      </c>
      <c r="I16" s="8">
        <v>2</v>
      </c>
      <c r="J16" s="8">
        <v>1</v>
      </c>
      <c r="L16" s="8" t="str">
        <f t="shared" si="3"/>
        <v>SSCC Pool detail : 9-1100123 Added successfully</v>
      </c>
    </row>
    <row r="17" spans="1:12" x14ac:dyDescent="0.25">
      <c r="A17" t="s">
        <v>744</v>
      </c>
      <c r="B17" t="s">
        <v>736</v>
      </c>
      <c r="F17" s="8" t="s">
        <v>720</v>
      </c>
      <c r="G17" s="8">
        <v>2</v>
      </c>
      <c r="H17" s="8">
        <v>9900123</v>
      </c>
      <c r="I17" s="8">
        <v>2</v>
      </c>
      <c r="J17" s="8">
        <v>1</v>
      </c>
      <c r="L17" s="8" t="str">
        <f t="shared" si="3"/>
        <v>SSCC Pool detail : 2-9900123 Added successfully</v>
      </c>
    </row>
    <row r="18" spans="1:12" x14ac:dyDescent="0.25">
      <c r="A18" t="s">
        <v>745</v>
      </c>
      <c r="B18" t="s">
        <v>737</v>
      </c>
      <c r="F18" s="8" t="s">
        <v>720</v>
      </c>
      <c r="G18" s="8">
        <v>9</v>
      </c>
      <c r="H18" s="8">
        <v>9900123</v>
      </c>
      <c r="I18" s="8">
        <v>2</v>
      </c>
      <c r="J18" s="8">
        <v>1</v>
      </c>
      <c r="L18" s="8" t="str">
        <f t="shared" si="3"/>
        <v>SSCC Pool detail : 9-9900123 Added successfully</v>
      </c>
    </row>
    <row r="19" spans="1:12" x14ac:dyDescent="0.25">
      <c r="A19" t="s">
        <v>746</v>
      </c>
      <c r="B19" t="s">
        <v>738</v>
      </c>
      <c r="F19" s="8" t="s">
        <v>719</v>
      </c>
      <c r="G19" s="8">
        <v>2</v>
      </c>
      <c r="H19" s="8">
        <v>7700123</v>
      </c>
      <c r="I19" s="8">
        <v>2</v>
      </c>
      <c r="J19" s="8">
        <v>1</v>
      </c>
      <c r="L19" s="8" t="str">
        <f t="shared" si="3"/>
        <v>SSCC Pool detail : 2-7700123 Added successfully</v>
      </c>
    </row>
    <row r="20" spans="1:12" x14ac:dyDescent="0.25">
      <c r="A20" t="s">
        <v>747</v>
      </c>
      <c r="B20" t="s">
        <v>739</v>
      </c>
      <c r="F20" s="8" t="s">
        <v>719</v>
      </c>
      <c r="G20" s="8">
        <v>9</v>
      </c>
      <c r="H20" s="8">
        <v>7700123</v>
      </c>
      <c r="I20" s="8">
        <v>2</v>
      </c>
      <c r="J20" s="8">
        <v>1</v>
      </c>
      <c r="L20" s="8" t="str">
        <f t="shared" si="3"/>
        <v>SSCC Pool detail : 9-7700123 Added successfully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DA631-73C4-47C0-98E7-4069AFFCB529}">
  <dimension ref="A1:N17"/>
  <sheetViews>
    <sheetView topLeftCell="C1" workbookViewId="0">
      <selection activeCell="J5" sqref="J5"/>
    </sheetView>
  </sheetViews>
  <sheetFormatPr defaultRowHeight="15" x14ac:dyDescent="0.25"/>
  <cols>
    <col min="1" max="1" width="19.28515625" bestFit="1" customWidth="1"/>
    <col min="2" max="2" width="70" bestFit="1" customWidth="1"/>
    <col min="3" max="4" width="13.7109375" style="8" bestFit="1" customWidth="1"/>
    <col min="5" max="5" width="18.5703125" style="8" bestFit="1" customWidth="1"/>
    <col min="6" max="6" width="11" style="8" bestFit="1" customWidth="1"/>
    <col min="7" max="7" width="22.42578125" style="8" bestFit="1" customWidth="1"/>
    <col min="8" max="9" width="11.140625" style="8" bestFit="1" customWidth="1"/>
    <col min="10" max="11" width="17.5703125" style="8" bestFit="1" customWidth="1"/>
    <col min="12" max="12" width="12.85546875" style="8" bestFit="1" customWidth="1"/>
    <col min="13" max="13" width="36.85546875" style="8" bestFit="1" customWidth="1"/>
    <col min="14" max="14" width="51.5703125" style="8" bestFit="1" customWidth="1"/>
    <col min="15" max="15" width="21.85546875" bestFit="1" customWidth="1"/>
    <col min="16" max="16" width="16" bestFit="1" customWidth="1"/>
    <col min="17" max="18" width="17.5703125" bestFit="1" customWidth="1"/>
    <col min="19" max="19" width="22.5703125" bestFit="1" customWidth="1"/>
    <col min="20" max="20" width="25.85546875" bestFit="1" customWidth="1"/>
    <col min="21" max="21" width="49.28515625" bestFit="1" customWidth="1"/>
  </cols>
  <sheetData>
    <row r="1" spans="1:14" s="8" customFormat="1" ht="30" x14ac:dyDescent="0.25">
      <c r="A1" s="5" t="s">
        <v>60</v>
      </c>
      <c r="B1" s="5" t="s">
        <v>71</v>
      </c>
      <c r="C1" s="5" t="s">
        <v>464</v>
      </c>
      <c r="D1" s="5" t="s">
        <v>729</v>
      </c>
      <c r="E1" s="5" t="s">
        <v>465</v>
      </c>
      <c r="F1" s="13" t="s">
        <v>466</v>
      </c>
      <c r="G1" s="5" t="s">
        <v>467</v>
      </c>
      <c r="H1" s="5" t="s">
        <v>468</v>
      </c>
      <c r="I1" s="5" t="s">
        <v>469</v>
      </c>
      <c r="J1" s="5" t="s">
        <v>470</v>
      </c>
      <c r="K1" s="5" t="s">
        <v>471</v>
      </c>
      <c r="L1" s="5" t="s">
        <v>109</v>
      </c>
      <c r="M1" s="5" t="s">
        <v>91</v>
      </c>
      <c r="N1" s="5" t="s">
        <v>66</v>
      </c>
    </row>
    <row r="2" spans="1:14" x14ac:dyDescent="0.25">
      <c r="A2" t="s">
        <v>472</v>
      </c>
      <c r="B2" t="s">
        <v>473</v>
      </c>
      <c r="N2" s="8" t="s">
        <v>171</v>
      </c>
    </row>
    <row r="3" spans="1:14" x14ac:dyDescent="0.25">
      <c r="A3" t="s">
        <v>474</v>
      </c>
      <c r="B3" t="s">
        <v>475</v>
      </c>
      <c r="L3" s="8" t="s">
        <v>110</v>
      </c>
      <c r="N3" s="8" t="s">
        <v>476</v>
      </c>
    </row>
    <row r="4" spans="1:14" x14ac:dyDescent="0.25">
      <c r="A4" t="s">
        <v>477</v>
      </c>
      <c r="B4" t="s">
        <v>752</v>
      </c>
      <c r="C4" s="8" t="s">
        <v>730</v>
      </c>
      <c r="E4" s="8" t="s">
        <v>479</v>
      </c>
      <c r="F4" s="8">
        <v>14</v>
      </c>
      <c r="G4" s="8" t="s">
        <v>29</v>
      </c>
      <c r="H4" s="8" t="s">
        <v>511</v>
      </c>
      <c r="J4" s="8" t="s">
        <v>509</v>
      </c>
      <c r="N4" s="8" t="s">
        <v>731</v>
      </c>
    </row>
    <row r="5" spans="1:14" x14ac:dyDescent="0.25">
      <c r="A5" t="s">
        <v>480</v>
      </c>
      <c r="B5" t="s">
        <v>752</v>
      </c>
      <c r="C5" s="8" t="s">
        <v>481</v>
      </c>
      <c r="E5" s="8" t="s">
        <v>482</v>
      </c>
      <c r="F5" s="8">
        <v>20</v>
      </c>
      <c r="G5" s="8" t="s">
        <v>29</v>
      </c>
      <c r="H5" s="8" t="s">
        <v>509</v>
      </c>
      <c r="I5" s="8" t="s">
        <v>510</v>
      </c>
      <c r="J5" s="8" t="s">
        <v>511</v>
      </c>
      <c r="K5" s="8" t="s">
        <v>512</v>
      </c>
      <c r="N5" s="8" t="s">
        <v>483</v>
      </c>
    </row>
    <row r="6" spans="1:14" x14ac:dyDescent="0.25">
      <c r="A6" t="s">
        <v>484</v>
      </c>
      <c r="B6" t="s">
        <v>485</v>
      </c>
      <c r="C6" s="8" t="s">
        <v>486</v>
      </c>
      <c r="E6" s="8" t="s">
        <v>482</v>
      </c>
      <c r="F6" s="8">
        <v>15</v>
      </c>
      <c r="G6" s="8" t="s">
        <v>29</v>
      </c>
      <c r="H6" s="8" t="s">
        <v>509</v>
      </c>
      <c r="I6" s="8" t="s">
        <v>510</v>
      </c>
      <c r="J6" s="8" t="s">
        <v>511</v>
      </c>
      <c r="K6" s="8" t="s">
        <v>512</v>
      </c>
      <c r="N6" s="8" t="s">
        <v>487</v>
      </c>
    </row>
    <row r="7" spans="1:14" x14ac:dyDescent="0.25">
      <c r="A7" t="s">
        <v>488</v>
      </c>
      <c r="B7" t="s">
        <v>489</v>
      </c>
      <c r="C7" s="8" t="s">
        <v>730</v>
      </c>
      <c r="E7" s="8" t="s">
        <v>479</v>
      </c>
      <c r="F7" s="8">
        <v>14</v>
      </c>
      <c r="G7" s="8" t="s">
        <v>29</v>
      </c>
      <c r="N7" s="8" t="s">
        <v>490</v>
      </c>
    </row>
    <row r="8" spans="1:14" x14ac:dyDescent="0.25">
      <c r="A8" t="s">
        <v>491</v>
      </c>
      <c r="B8" t="s">
        <v>492</v>
      </c>
      <c r="C8" s="8" t="s">
        <v>730</v>
      </c>
      <c r="E8" s="8" t="s">
        <v>479</v>
      </c>
      <c r="F8" s="8">
        <v>14</v>
      </c>
      <c r="G8" s="8" t="s">
        <v>29</v>
      </c>
      <c r="L8" s="8" t="s">
        <v>110</v>
      </c>
    </row>
    <row r="9" spans="1:14" x14ac:dyDescent="0.25">
      <c r="A9" t="s">
        <v>493</v>
      </c>
      <c r="B9" t="s">
        <v>494</v>
      </c>
      <c r="C9" s="8" t="s">
        <v>478</v>
      </c>
      <c r="D9" s="8" t="s">
        <v>730</v>
      </c>
      <c r="E9" s="8" t="s">
        <v>479</v>
      </c>
      <c r="F9" s="8">
        <v>14</v>
      </c>
      <c r="G9" s="8" t="s">
        <v>29</v>
      </c>
      <c r="H9" s="8" t="s">
        <v>509</v>
      </c>
      <c r="I9" s="8" t="s">
        <v>510</v>
      </c>
      <c r="J9" s="8" t="s">
        <v>511</v>
      </c>
      <c r="K9" s="8" t="s">
        <v>512</v>
      </c>
      <c r="N9" s="8" t="s">
        <v>495</v>
      </c>
    </row>
    <row r="10" spans="1:14" x14ac:dyDescent="0.25">
      <c r="A10" t="s">
        <v>496</v>
      </c>
      <c r="B10" t="s">
        <v>497</v>
      </c>
      <c r="C10" s="8" t="s">
        <v>481</v>
      </c>
      <c r="E10" s="8" t="s">
        <v>479</v>
      </c>
      <c r="F10" s="8">
        <v>14</v>
      </c>
      <c r="G10" s="8" t="s">
        <v>29</v>
      </c>
      <c r="M10" s="8" t="s">
        <v>498</v>
      </c>
      <c r="N10" s="8" t="s">
        <v>499</v>
      </c>
    </row>
    <row r="11" spans="1:14" x14ac:dyDescent="0.25">
      <c r="A11" t="s">
        <v>500</v>
      </c>
      <c r="B11" t="s">
        <v>501</v>
      </c>
      <c r="C11" s="8" t="s">
        <v>481</v>
      </c>
      <c r="E11" s="8" t="s">
        <v>479</v>
      </c>
      <c r="F11" s="8">
        <v>14</v>
      </c>
      <c r="G11" s="8" t="s">
        <v>29</v>
      </c>
      <c r="M11" s="8" t="s">
        <v>502</v>
      </c>
      <c r="N11" s="8" t="s">
        <v>503</v>
      </c>
    </row>
    <row r="12" spans="1:14" x14ac:dyDescent="0.25">
      <c r="A12" t="s">
        <v>504</v>
      </c>
      <c r="B12" t="s">
        <v>505</v>
      </c>
      <c r="C12" s="8" t="s">
        <v>478</v>
      </c>
      <c r="E12" s="8" t="s">
        <v>479</v>
      </c>
      <c r="F12" s="8">
        <v>14</v>
      </c>
      <c r="G12" s="8" t="s">
        <v>29</v>
      </c>
      <c r="H12" s="8" t="s">
        <v>509</v>
      </c>
      <c r="I12" s="8" t="s">
        <v>510</v>
      </c>
      <c r="J12" s="8" t="s">
        <v>511</v>
      </c>
      <c r="K12" s="8" t="s">
        <v>512</v>
      </c>
      <c r="N12" s="8" t="s">
        <v>506</v>
      </c>
    </row>
    <row r="13" spans="1:14" x14ac:dyDescent="0.25">
      <c r="A13" t="s">
        <v>507</v>
      </c>
      <c r="B13" t="s">
        <v>508</v>
      </c>
      <c r="C13" s="8" t="s">
        <v>478</v>
      </c>
      <c r="N13" s="8" t="s">
        <v>396</v>
      </c>
    </row>
    <row r="14" spans="1:14" x14ac:dyDescent="0.25">
      <c r="A14" t="s">
        <v>748</v>
      </c>
      <c r="B14" t="s">
        <v>753</v>
      </c>
      <c r="C14" s="8" t="s">
        <v>721</v>
      </c>
      <c r="E14" s="8" t="s">
        <v>479</v>
      </c>
      <c r="F14" s="8">
        <v>14</v>
      </c>
      <c r="G14" s="8" t="s">
        <v>722</v>
      </c>
      <c r="H14" s="8" t="s">
        <v>757</v>
      </c>
      <c r="J14" s="8" t="s">
        <v>758</v>
      </c>
      <c r="N14" s="8" t="s">
        <v>723</v>
      </c>
    </row>
    <row r="15" spans="1:14" x14ac:dyDescent="0.25">
      <c r="A15" t="s">
        <v>749</v>
      </c>
      <c r="B15" t="s">
        <v>754</v>
      </c>
      <c r="C15" s="8" t="s">
        <v>694</v>
      </c>
      <c r="E15" s="8" t="s">
        <v>479</v>
      </c>
      <c r="F15" s="8">
        <v>14</v>
      </c>
      <c r="G15" s="8" t="s">
        <v>718</v>
      </c>
      <c r="H15" s="8" t="s">
        <v>759</v>
      </c>
      <c r="J15" s="8" t="s">
        <v>760</v>
      </c>
      <c r="N15" s="8" t="s">
        <v>695</v>
      </c>
    </row>
    <row r="16" spans="1:14" x14ac:dyDescent="0.25">
      <c r="A16" t="s">
        <v>750</v>
      </c>
      <c r="B16" t="s">
        <v>755</v>
      </c>
      <c r="C16" s="8" t="s">
        <v>696</v>
      </c>
      <c r="E16" s="8" t="s">
        <v>479</v>
      </c>
      <c r="F16" s="8">
        <v>14</v>
      </c>
      <c r="G16" s="8" t="s">
        <v>719</v>
      </c>
      <c r="H16" s="8" t="s">
        <v>761</v>
      </c>
      <c r="J16" s="8" t="s">
        <v>762</v>
      </c>
      <c r="N16" s="8" t="s">
        <v>698</v>
      </c>
    </row>
    <row r="17" spans="1:14" x14ac:dyDescent="0.25">
      <c r="A17" t="s">
        <v>751</v>
      </c>
      <c r="B17" t="s">
        <v>756</v>
      </c>
      <c r="C17" s="8" t="s">
        <v>699</v>
      </c>
      <c r="E17" s="8" t="s">
        <v>479</v>
      </c>
      <c r="F17" s="8">
        <v>14</v>
      </c>
      <c r="G17" s="8" t="s">
        <v>720</v>
      </c>
      <c r="H17" s="8" t="s">
        <v>763</v>
      </c>
      <c r="J17" s="8" t="s">
        <v>764</v>
      </c>
      <c r="N17" s="8" t="s">
        <v>701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82DE9-14A9-4F5F-95E4-92BB571C84B0}">
  <dimension ref="A1:CN26"/>
  <sheetViews>
    <sheetView workbookViewId="0">
      <pane ySplit="1" topLeftCell="A11" activePane="bottomLeft" state="frozen"/>
      <selection pane="bottomLeft" activeCell="C26" sqref="C26"/>
    </sheetView>
  </sheetViews>
  <sheetFormatPr defaultRowHeight="15" x14ac:dyDescent="0.25"/>
  <cols>
    <col min="1" max="1" width="21.140625" style="9" bestFit="1" customWidth="1"/>
    <col min="2" max="2" width="81.42578125" style="3" bestFit="1" customWidth="1"/>
    <col min="3" max="3" width="16.85546875" style="3" bestFit="1" customWidth="1"/>
    <col min="4" max="4" width="8.5703125" style="9" bestFit="1" customWidth="1"/>
    <col min="5" max="6" width="21.140625" style="3" bestFit="1" customWidth="1"/>
    <col min="7" max="7" width="19.85546875" style="9" bestFit="1" customWidth="1"/>
    <col min="8" max="8" width="21.140625" style="9" bestFit="1" customWidth="1"/>
    <col min="9" max="9" width="13.7109375" style="9" bestFit="1" customWidth="1"/>
    <col min="10" max="10" width="8.42578125" style="9" bestFit="1" customWidth="1"/>
    <col min="11" max="11" width="11.85546875" style="9" bestFit="1" customWidth="1"/>
    <col min="12" max="12" width="27.85546875" style="9" bestFit="1" customWidth="1"/>
    <col min="13" max="13" width="19.140625" style="9" bestFit="1" customWidth="1"/>
    <col min="14" max="14" width="15" style="9" bestFit="1" customWidth="1"/>
    <col min="15" max="15" width="11.140625" style="9" bestFit="1" customWidth="1"/>
    <col min="16" max="16" width="7.7109375" style="9" bestFit="1" customWidth="1"/>
    <col min="17" max="17" width="9" style="9" bestFit="1" customWidth="1"/>
    <col min="18" max="18" width="11.5703125" style="9" bestFit="1" customWidth="1"/>
    <col min="19" max="19" width="9.7109375" style="9" bestFit="1" customWidth="1"/>
    <col min="20" max="20" width="10.42578125" style="9" bestFit="1" customWidth="1"/>
    <col min="21" max="21" width="10.5703125" style="19" customWidth="1"/>
    <col min="22" max="22" width="15.140625" style="9" customWidth="1"/>
    <col min="23" max="23" width="14" style="9" customWidth="1"/>
    <col min="24" max="24" width="19.85546875" style="9" customWidth="1"/>
    <col min="25" max="25" width="11.7109375" style="9" customWidth="1"/>
    <col min="26" max="26" width="14.28515625" style="9" customWidth="1"/>
    <col min="27" max="27" width="15.140625" style="9" customWidth="1"/>
    <col min="28" max="28" width="42.28515625" style="9" bestFit="1" customWidth="1"/>
    <col min="29" max="29" width="42.42578125" style="9" bestFit="1" customWidth="1"/>
    <col min="30" max="30" width="14" style="20" customWidth="1"/>
    <col min="31" max="31" width="10.5703125" style="19" customWidth="1"/>
    <col min="32" max="32" width="15.140625" style="9" customWidth="1"/>
    <col min="33" max="33" width="14" style="9" customWidth="1"/>
    <col min="34" max="34" width="19.85546875" style="9" customWidth="1"/>
    <col min="35" max="35" width="11.7109375" style="9" customWidth="1"/>
    <col min="36" max="36" width="14.28515625" style="9" customWidth="1"/>
    <col min="37" max="37" width="15.140625" style="9" customWidth="1"/>
    <col min="38" max="38" width="42.28515625" style="9" bestFit="1" customWidth="1"/>
    <col min="39" max="39" width="42.42578125" style="9" bestFit="1" customWidth="1"/>
    <col min="40" max="40" width="14" style="9" customWidth="1"/>
    <col min="41" max="41" width="12.140625" style="9" customWidth="1"/>
    <col min="42" max="42" width="16.28515625" style="9" customWidth="1"/>
    <col min="43" max="43" width="40.140625" style="9" bestFit="1" customWidth="1"/>
    <col min="44" max="44" width="40.28515625" style="20" bestFit="1" customWidth="1"/>
    <col min="45" max="45" width="10.5703125" style="19" customWidth="1"/>
    <col min="46" max="46" width="15.140625" style="9" customWidth="1"/>
    <col min="47" max="47" width="14" style="9" customWidth="1"/>
    <col min="48" max="48" width="19.85546875" style="9" customWidth="1"/>
    <col min="49" max="49" width="11.7109375" style="9" customWidth="1"/>
    <col min="50" max="50" width="14.28515625" style="9" customWidth="1"/>
    <col min="51" max="51" width="15.140625" style="9" customWidth="1"/>
    <col min="52" max="52" width="42.28515625" style="9" bestFit="1" customWidth="1"/>
    <col min="53" max="53" width="42.42578125" style="9" bestFit="1" customWidth="1"/>
    <col min="54" max="54" width="14" style="9" bestFit="1" customWidth="1"/>
    <col min="55" max="55" width="12.140625" style="9" bestFit="1" customWidth="1"/>
    <col min="56" max="56" width="16.28515625" style="9" bestFit="1" customWidth="1"/>
    <col min="57" max="57" width="40.140625" style="9" bestFit="1" customWidth="1"/>
    <col min="58" max="58" width="40.28515625" style="20" bestFit="1" customWidth="1"/>
    <col min="59" max="59" width="10.5703125" style="19" customWidth="1"/>
    <col min="60" max="60" width="15.140625" style="9" customWidth="1"/>
    <col min="61" max="61" width="14" style="9" customWidth="1"/>
    <col min="62" max="62" width="19.85546875" style="9" customWidth="1"/>
    <col min="63" max="63" width="11.7109375" style="9" customWidth="1"/>
    <col min="64" max="64" width="14.28515625" style="9" customWidth="1"/>
    <col min="65" max="65" width="15.140625" style="9" customWidth="1"/>
    <col min="66" max="66" width="42.28515625" style="9" bestFit="1" customWidth="1"/>
    <col min="67" max="67" width="42.42578125" style="9" bestFit="1" customWidth="1"/>
    <col min="68" max="68" width="14" style="9" bestFit="1" customWidth="1"/>
    <col min="69" max="69" width="12.140625" style="9" bestFit="1" customWidth="1"/>
    <col min="70" max="70" width="16.28515625" style="9" bestFit="1" customWidth="1"/>
    <col min="71" max="71" width="37.42578125" style="9" bestFit="1" customWidth="1"/>
    <col min="72" max="72" width="37.5703125" style="20" bestFit="1" customWidth="1"/>
    <col min="73" max="73" width="10.5703125" style="19" bestFit="1" customWidth="1"/>
    <col min="74" max="74" width="15.140625" style="9" bestFit="1" customWidth="1"/>
    <col min="75" max="75" width="14" style="9" bestFit="1" customWidth="1"/>
    <col min="76" max="76" width="19.85546875" style="9" bestFit="1" customWidth="1"/>
    <col min="77" max="77" width="11.7109375" style="9" bestFit="1" customWidth="1"/>
    <col min="78" max="78" width="14.28515625" style="9" bestFit="1" customWidth="1"/>
    <col min="79" max="79" width="15.140625" style="9" bestFit="1" customWidth="1"/>
    <col min="80" max="80" width="42.28515625" style="9" bestFit="1" customWidth="1"/>
    <col min="81" max="81" width="42.42578125" style="9" bestFit="1" customWidth="1"/>
    <col min="82" max="82" width="14" style="9" bestFit="1" customWidth="1"/>
    <col min="83" max="83" width="12.140625" style="9" bestFit="1" customWidth="1"/>
    <col min="84" max="84" width="16.28515625" style="9" bestFit="1" customWidth="1"/>
    <col min="85" max="85" width="15.28515625" style="9" bestFit="1" customWidth="1"/>
    <col min="86" max="86" width="17.85546875" style="20" bestFit="1" customWidth="1"/>
    <col min="87" max="87" width="12.140625" style="9" bestFit="1" customWidth="1"/>
    <col min="88" max="88" width="15.42578125" style="9" bestFit="1" customWidth="1"/>
    <col min="89" max="89" width="18.5703125" style="9" bestFit="1" customWidth="1"/>
    <col min="90" max="90" width="16.28515625" style="9" bestFit="1" customWidth="1"/>
    <col min="91" max="91" width="76.5703125" style="9" bestFit="1" customWidth="1"/>
    <col min="92" max="92" width="31.85546875" style="9" customWidth="1"/>
    <col min="93" max="16384" width="9.140625" style="9"/>
  </cols>
  <sheetData>
    <row r="1" spans="1:92" s="13" customFormat="1" x14ac:dyDescent="0.25">
      <c r="A1" s="13" t="s">
        <v>60</v>
      </c>
      <c r="B1" s="6" t="s">
        <v>71</v>
      </c>
      <c r="C1" s="13" t="s">
        <v>355</v>
      </c>
      <c r="D1" s="13" t="s">
        <v>946</v>
      </c>
      <c r="E1" s="13" t="s">
        <v>269</v>
      </c>
      <c r="F1" s="13" t="s">
        <v>890</v>
      </c>
      <c r="G1" s="13" t="s">
        <v>270</v>
      </c>
      <c r="H1" s="13" t="s">
        <v>271</v>
      </c>
      <c r="I1" s="13" t="s">
        <v>272</v>
      </c>
      <c r="J1" s="13" t="s">
        <v>921</v>
      </c>
      <c r="K1" s="13" t="s">
        <v>922</v>
      </c>
      <c r="L1" s="13" t="s">
        <v>278</v>
      </c>
      <c r="M1" s="13" t="s">
        <v>274</v>
      </c>
      <c r="N1" s="13" t="s">
        <v>273</v>
      </c>
      <c r="O1" s="13" t="s">
        <v>275</v>
      </c>
      <c r="P1" s="13" t="s">
        <v>17</v>
      </c>
      <c r="Q1" s="13" t="s">
        <v>276</v>
      </c>
      <c r="R1" s="13" t="s">
        <v>277</v>
      </c>
      <c r="S1" s="13" t="s">
        <v>279</v>
      </c>
      <c r="T1" s="13" t="s">
        <v>280</v>
      </c>
      <c r="U1" s="22" t="s">
        <v>281</v>
      </c>
      <c r="V1" s="23" t="s">
        <v>282</v>
      </c>
      <c r="W1" s="23" t="s">
        <v>283</v>
      </c>
      <c r="X1" s="23" t="s">
        <v>284</v>
      </c>
      <c r="Y1" s="23" t="s">
        <v>285</v>
      </c>
      <c r="Z1" s="23" t="s">
        <v>286</v>
      </c>
      <c r="AA1" s="23" t="s">
        <v>287</v>
      </c>
      <c r="AB1" s="23" t="s">
        <v>288</v>
      </c>
      <c r="AC1" s="23" t="s">
        <v>289</v>
      </c>
      <c r="AD1" s="24" t="s">
        <v>687</v>
      </c>
      <c r="AE1" s="22" t="s">
        <v>290</v>
      </c>
      <c r="AF1" s="23" t="s">
        <v>291</v>
      </c>
      <c r="AG1" s="23" t="s">
        <v>292</v>
      </c>
      <c r="AH1" s="23" t="s">
        <v>293</v>
      </c>
      <c r="AI1" s="23" t="s">
        <v>294</v>
      </c>
      <c r="AJ1" s="23" t="s">
        <v>295</v>
      </c>
      <c r="AK1" s="23" t="s">
        <v>296</v>
      </c>
      <c r="AL1" s="23" t="s">
        <v>297</v>
      </c>
      <c r="AM1" s="23" t="s">
        <v>635</v>
      </c>
      <c r="AN1" s="23" t="s">
        <v>648</v>
      </c>
      <c r="AO1" s="23" t="s">
        <v>861</v>
      </c>
      <c r="AP1" s="23" t="s">
        <v>865</v>
      </c>
      <c r="AQ1" s="23" t="s">
        <v>863</v>
      </c>
      <c r="AR1" s="24" t="s">
        <v>864</v>
      </c>
      <c r="AS1" s="22" t="s">
        <v>647</v>
      </c>
      <c r="AT1" s="23" t="s">
        <v>614</v>
      </c>
      <c r="AU1" s="23" t="s">
        <v>615</v>
      </c>
      <c r="AV1" s="23" t="s">
        <v>616</v>
      </c>
      <c r="AW1" s="23" t="s">
        <v>617</v>
      </c>
      <c r="AX1" s="23" t="s">
        <v>618</v>
      </c>
      <c r="AY1" s="23" t="s">
        <v>619</v>
      </c>
      <c r="AZ1" s="23" t="s">
        <v>620</v>
      </c>
      <c r="BA1" s="23" t="s">
        <v>621</v>
      </c>
      <c r="BB1" s="23" t="s">
        <v>649</v>
      </c>
      <c r="BC1" s="23" t="s">
        <v>866</v>
      </c>
      <c r="BD1" s="23" t="s">
        <v>867</v>
      </c>
      <c r="BE1" s="23" t="s">
        <v>868</v>
      </c>
      <c r="BF1" s="24" t="s">
        <v>869</v>
      </c>
      <c r="BG1" s="22" t="s">
        <v>622</v>
      </c>
      <c r="BH1" s="23" t="s">
        <v>623</v>
      </c>
      <c r="BI1" s="23" t="s">
        <v>624</v>
      </c>
      <c r="BJ1" s="23" t="s">
        <v>625</v>
      </c>
      <c r="BK1" s="23" t="s">
        <v>626</v>
      </c>
      <c r="BL1" s="23" t="s">
        <v>688</v>
      </c>
      <c r="BM1" s="23" t="s">
        <v>651</v>
      </c>
      <c r="BN1" s="23" t="s">
        <v>627</v>
      </c>
      <c r="BO1" s="23" t="s">
        <v>628</v>
      </c>
      <c r="BP1" s="23" t="s">
        <v>650</v>
      </c>
      <c r="BQ1" s="23" t="s">
        <v>870</v>
      </c>
      <c r="BR1" s="23" t="s">
        <v>871</v>
      </c>
      <c r="BS1" s="23" t="s">
        <v>872</v>
      </c>
      <c r="BT1" s="24" t="s">
        <v>873</v>
      </c>
      <c r="BU1" s="22" t="s">
        <v>785</v>
      </c>
      <c r="BV1" s="23" t="s">
        <v>786</v>
      </c>
      <c r="BW1" s="23" t="s">
        <v>787</v>
      </c>
      <c r="BX1" s="23" t="s">
        <v>788</v>
      </c>
      <c r="BY1" s="23" t="s">
        <v>789</v>
      </c>
      <c r="BZ1" s="23" t="s">
        <v>790</v>
      </c>
      <c r="CA1" s="23" t="s">
        <v>791</v>
      </c>
      <c r="CB1" s="23" t="s">
        <v>792</v>
      </c>
      <c r="CC1" s="23" t="s">
        <v>793</v>
      </c>
      <c r="CD1" s="23" t="s">
        <v>794</v>
      </c>
      <c r="CE1" s="23" t="s">
        <v>874</v>
      </c>
      <c r="CF1" s="23" t="s">
        <v>875</v>
      </c>
      <c r="CG1" s="23" t="s">
        <v>876</v>
      </c>
      <c r="CH1" s="24" t="s">
        <v>877</v>
      </c>
      <c r="CI1" s="13" t="s">
        <v>636</v>
      </c>
      <c r="CJ1" s="13" t="s">
        <v>637</v>
      </c>
      <c r="CK1" s="13" t="s">
        <v>638</v>
      </c>
      <c r="CL1" s="13" t="s">
        <v>643</v>
      </c>
      <c r="CM1" s="13" t="s">
        <v>66</v>
      </c>
      <c r="CN1" s="13" t="s">
        <v>947</v>
      </c>
    </row>
    <row r="2" spans="1:92" x14ac:dyDescent="0.25">
      <c r="A2" s="9" t="s">
        <v>298</v>
      </c>
      <c r="B2" s="3" t="s">
        <v>689</v>
      </c>
      <c r="F2" s="3" t="s">
        <v>2</v>
      </c>
      <c r="G2" s="9" t="s">
        <v>2</v>
      </c>
      <c r="H2" s="9" t="s">
        <v>2</v>
      </c>
      <c r="I2" s="9" t="s">
        <v>2</v>
      </c>
      <c r="L2" s="9" t="s">
        <v>2</v>
      </c>
      <c r="M2" s="9" t="s">
        <v>2</v>
      </c>
      <c r="N2" s="9" t="s">
        <v>2</v>
      </c>
      <c r="O2" s="9" t="s">
        <v>2</v>
      </c>
      <c r="P2" s="9" t="s">
        <v>2</v>
      </c>
      <c r="Q2" s="9" t="s">
        <v>2</v>
      </c>
      <c r="R2" s="9" t="s">
        <v>2</v>
      </c>
      <c r="S2" s="9" t="s">
        <v>2</v>
      </c>
      <c r="T2" s="9" t="s">
        <v>2</v>
      </c>
      <c r="U2" s="19" t="s">
        <v>2</v>
      </c>
      <c r="V2" s="9" t="s">
        <v>2</v>
      </c>
      <c r="W2" s="9" t="s">
        <v>2</v>
      </c>
      <c r="X2" s="9" t="s">
        <v>2</v>
      </c>
      <c r="Y2" s="9" t="s">
        <v>2</v>
      </c>
      <c r="Z2" s="9" t="s">
        <v>2</v>
      </c>
      <c r="AA2" s="9" t="s">
        <v>2</v>
      </c>
      <c r="AB2" s="9" t="s">
        <v>2</v>
      </c>
      <c r="AC2" s="9" t="s">
        <v>2</v>
      </c>
      <c r="AD2" s="20" t="s">
        <v>2</v>
      </c>
      <c r="AE2" s="19" t="s">
        <v>2</v>
      </c>
      <c r="AF2" s="9" t="s">
        <v>2</v>
      </c>
      <c r="AG2" s="9" t="s">
        <v>2</v>
      </c>
      <c r="AH2" s="9" t="s">
        <v>2</v>
      </c>
      <c r="AI2" s="9" t="s">
        <v>2</v>
      </c>
      <c r="AJ2" s="9" t="s">
        <v>2</v>
      </c>
      <c r="AK2" s="9" t="s">
        <v>2</v>
      </c>
      <c r="AL2" s="9" t="s">
        <v>2</v>
      </c>
      <c r="AM2" s="9" t="s">
        <v>2</v>
      </c>
      <c r="AR2" s="20" t="s">
        <v>2</v>
      </c>
      <c r="AS2" s="19" t="s">
        <v>2</v>
      </c>
      <c r="AT2" s="9" t="s">
        <v>2</v>
      </c>
      <c r="AU2" s="9" t="s">
        <v>2</v>
      </c>
      <c r="AV2" s="9" t="s">
        <v>2</v>
      </c>
      <c r="AW2" s="9" t="s">
        <v>2</v>
      </c>
      <c r="AX2" s="9" t="s">
        <v>2</v>
      </c>
      <c r="AY2" s="9" t="s">
        <v>2</v>
      </c>
      <c r="AZ2" s="9" t="s">
        <v>2</v>
      </c>
      <c r="BA2" s="9" t="s">
        <v>2</v>
      </c>
      <c r="BB2" s="9" t="s">
        <v>2</v>
      </c>
      <c r="BG2" s="19" t="s">
        <v>2</v>
      </c>
      <c r="BH2" s="9" t="s">
        <v>2</v>
      </c>
      <c r="BI2" s="9" t="s">
        <v>2</v>
      </c>
      <c r="BJ2" s="9" t="s">
        <v>2</v>
      </c>
      <c r="BK2" s="9" t="s">
        <v>2</v>
      </c>
      <c r="BL2" s="9" t="s">
        <v>2</v>
      </c>
      <c r="BM2" s="9" t="s">
        <v>2</v>
      </c>
      <c r="BN2" s="9" t="s">
        <v>2</v>
      </c>
      <c r="BO2" s="9" t="s">
        <v>2</v>
      </c>
      <c r="BP2" s="9" t="s">
        <v>2</v>
      </c>
      <c r="BU2" s="19" t="s">
        <v>2</v>
      </c>
      <c r="BV2" s="9" t="s">
        <v>2</v>
      </c>
      <c r="BW2" s="9" t="s">
        <v>2</v>
      </c>
      <c r="BX2" s="9" t="s">
        <v>2</v>
      </c>
      <c r="BY2" s="9" t="s">
        <v>2</v>
      </c>
      <c r="BZ2" s="9" t="s">
        <v>2</v>
      </c>
      <c r="CA2" s="9" t="s">
        <v>2</v>
      </c>
      <c r="CB2" s="9" t="s">
        <v>2</v>
      </c>
      <c r="CC2" s="9" t="s">
        <v>2</v>
      </c>
      <c r="CD2" s="9" t="s">
        <v>2</v>
      </c>
      <c r="CI2" s="9" t="s">
        <v>2</v>
      </c>
      <c r="CJ2" s="9" t="s">
        <v>2</v>
      </c>
      <c r="CK2" s="9" t="s">
        <v>2</v>
      </c>
      <c r="CL2" s="9" t="s">
        <v>2</v>
      </c>
      <c r="CM2" s="9" t="s">
        <v>639</v>
      </c>
    </row>
    <row r="3" spans="1:92" x14ac:dyDescent="0.25">
      <c r="A3" s="9" t="s">
        <v>299</v>
      </c>
      <c r="B3" s="3" t="s">
        <v>690</v>
      </c>
      <c r="F3" s="3" t="s">
        <v>2</v>
      </c>
      <c r="G3" s="9" t="s">
        <v>2</v>
      </c>
      <c r="H3" s="9" t="s">
        <v>2</v>
      </c>
      <c r="I3" s="9" t="s">
        <v>2</v>
      </c>
      <c r="L3" s="9" t="s">
        <v>2</v>
      </c>
      <c r="M3" s="9" t="s">
        <v>2</v>
      </c>
      <c r="N3" s="9" t="s">
        <v>2</v>
      </c>
      <c r="O3" s="9" t="s">
        <v>2</v>
      </c>
      <c r="P3" s="9" t="s">
        <v>2</v>
      </c>
      <c r="Q3" s="9" t="s">
        <v>2</v>
      </c>
      <c r="R3" s="9" t="s">
        <v>2</v>
      </c>
      <c r="S3" s="9" t="s">
        <v>2</v>
      </c>
      <c r="T3" s="9" t="s">
        <v>2</v>
      </c>
      <c r="U3" s="19" t="s">
        <v>2</v>
      </c>
      <c r="V3" s="9" t="s">
        <v>2</v>
      </c>
      <c r="W3" s="9" t="s">
        <v>2</v>
      </c>
      <c r="X3" s="9" t="s">
        <v>2</v>
      </c>
      <c r="Y3" s="9" t="s">
        <v>2</v>
      </c>
      <c r="Z3" s="9" t="s">
        <v>2</v>
      </c>
      <c r="AA3" s="9" t="s">
        <v>2</v>
      </c>
      <c r="AB3" s="9" t="s">
        <v>2</v>
      </c>
      <c r="AC3" s="9" t="s">
        <v>2</v>
      </c>
      <c r="AD3" s="20" t="s">
        <v>2</v>
      </c>
      <c r="AE3" s="19" t="s">
        <v>2</v>
      </c>
      <c r="AF3" s="9" t="s">
        <v>2</v>
      </c>
      <c r="AG3" s="9" t="s">
        <v>2</v>
      </c>
      <c r="AH3" s="9" t="s">
        <v>2</v>
      </c>
      <c r="AI3" s="9" t="s">
        <v>2</v>
      </c>
      <c r="AJ3" s="9" t="s">
        <v>2</v>
      </c>
      <c r="AK3" s="9" t="s">
        <v>2</v>
      </c>
      <c r="AL3" s="9" t="s">
        <v>2</v>
      </c>
      <c r="AM3" s="9" t="s">
        <v>2</v>
      </c>
      <c r="AR3" s="20" t="s">
        <v>2</v>
      </c>
      <c r="AS3" s="19" t="s">
        <v>2</v>
      </c>
      <c r="AT3" s="9" t="s">
        <v>2</v>
      </c>
      <c r="AU3" s="9" t="s">
        <v>2</v>
      </c>
      <c r="AV3" s="9" t="s">
        <v>2</v>
      </c>
      <c r="AW3" s="9" t="s">
        <v>2</v>
      </c>
      <c r="AX3" s="9" t="s">
        <v>2</v>
      </c>
      <c r="AY3" s="9" t="s">
        <v>2</v>
      </c>
      <c r="AZ3" s="9" t="s">
        <v>2</v>
      </c>
      <c r="BA3" s="9" t="s">
        <v>2</v>
      </c>
      <c r="BB3" s="9" t="s">
        <v>2</v>
      </c>
      <c r="BG3" s="19" t="s">
        <v>2</v>
      </c>
      <c r="BH3" s="9" t="s">
        <v>2</v>
      </c>
      <c r="BI3" s="9" t="s">
        <v>2</v>
      </c>
      <c r="BJ3" s="9" t="s">
        <v>2</v>
      </c>
      <c r="BK3" s="9" t="s">
        <v>2</v>
      </c>
      <c r="BL3" s="9" t="s">
        <v>2</v>
      </c>
      <c r="BM3" s="9" t="s">
        <v>2</v>
      </c>
      <c r="BN3" s="9" t="s">
        <v>2</v>
      </c>
      <c r="BO3" s="9" t="s">
        <v>2</v>
      </c>
      <c r="BP3" s="9" t="s">
        <v>2</v>
      </c>
      <c r="BU3" s="19" t="s">
        <v>2</v>
      </c>
      <c r="BV3" s="9" t="s">
        <v>2</v>
      </c>
      <c r="BW3" s="9" t="s">
        <v>2</v>
      </c>
      <c r="BX3" s="9" t="s">
        <v>2</v>
      </c>
      <c r="BY3" s="9" t="s">
        <v>2</v>
      </c>
      <c r="BZ3" s="9" t="s">
        <v>2</v>
      </c>
      <c r="CA3" s="9" t="s">
        <v>2</v>
      </c>
      <c r="CB3" s="9" t="s">
        <v>2</v>
      </c>
      <c r="CC3" s="9" t="s">
        <v>2</v>
      </c>
      <c r="CD3" s="9" t="s">
        <v>2</v>
      </c>
      <c r="CI3" s="9" t="s">
        <v>2</v>
      </c>
      <c r="CJ3" s="9" t="s">
        <v>2</v>
      </c>
      <c r="CK3" s="9" t="s">
        <v>2</v>
      </c>
      <c r="CL3" s="9" t="s">
        <v>2</v>
      </c>
      <c r="CM3" s="9" t="s">
        <v>920</v>
      </c>
    </row>
    <row r="4" spans="1:92" x14ac:dyDescent="0.25">
      <c r="A4" s="9" t="s">
        <v>300</v>
      </c>
      <c r="B4" s="3" t="s">
        <v>691</v>
      </c>
      <c r="F4" s="3" t="s">
        <v>2</v>
      </c>
      <c r="G4" s="9" t="s">
        <v>2</v>
      </c>
      <c r="H4" s="9" t="s">
        <v>2</v>
      </c>
      <c r="I4" s="9" t="s">
        <v>2</v>
      </c>
      <c r="L4" s="9" t="s">
        <v>2</v>
      </c>
      <c r="M4" s="9" t="s">
        <v>2</v>
      </c>
      <c r="N4" s="9" t="s">
        <v>2</v>
      </c>
      <c r="O4" s="9" t="s">
        <v>2</v>
      </c>
      <c r="P4" s="9" t="s">
        <v>2</v>
      </c>
      <c r="Q4" s="9" t="s">
        <v>2</v>
      </c>
      <c r="R4" s="9" t="s">
        <v>2</v>
      </c>
      <c r="S4" s="9" t="s">
        <v>2</v>
      </c>
      <c r="T4" s="9" t="s">
        <v>2</v>
      </c>
      <c r="U4" s="19" t="s">
        <v>2</v>
      </c>
      <c r="V4" s="9" t="s">
        <v>2</v>
      </c>
      <c r="W4" s="9" t="s">
        <v>2</v>
      </c>
      <c r="X4" s="9" t="s">
        <v>2</v>
      </c>
      <c r="Y4" s="9" t="s">
        <v>2</v>
      </c>
      <c r="Z4" s="9" t="s">
        <v>2</v>
      </c>
      <c r="AA4" s="9" t="s">
        <v>2</v>
      </c>
      <c r="AB4" s="9" t="s">
        <v>2</v>
      </c>
      <c r="AC4" s="9" t="s">
        <v>2</v>
      </c>
      <c r="AD4" s="20" t="s">
        <v>2</v>
      </c>
      <c r="AE4" s="19" t="s">
        <v>2</v>
      </c>
      <c r="AF4" s="9" t="s">
        <v>2</v>
      </c>
      <c r="AG4" s="9" t="s">
        <v>2</v>
      </c>
      <c r="AH4" s="9" t="s">
        <v>2</v>
      </c>
      <c r="AI4" s="9" t="s">
        <v>2</v>
      </c>
      <c r="AJ4" s="9" t="s">
        <v>2</v>
      </c>
      <c r="AK4" s="9" t="s">
        <v>2</v>
      </c>
      <c r="AL4" s="9" t="s">
        <v>2</v>
      </c>
      <c r="AM4" s="9" t="s">
        <v>2</v>
      </c>
      <c r="AR4" s="20" t="s">
        <v>2</v>
      </c>
      <c r="AS4" s="19" t="s">
        <v>2</v>
      </c>
      <c r="AT4" s="9" t="s">
        <v>2</v>
      </c>
      <c r="AU4" s="9" t="s">
        <v>2</v>
      </c>
      <c r="AV4" s="9" t="s">
        <v>2</v>
      </c>
      <c r="AW4" s="9" t="s">
        <v>2</v>
      </c>
      <c r="AX4" s="9" t="s">
        <v>2</v>
      </c>
      <c r="AY4" s="9" t="s">
        <v>2</v>
      </c>
      <c r="AZ4" s="9" t="s">
        <v>2</v>
      </c>
      <c r="BA4" s="9" t="s">
        <v>2</v>
      </c>
      <c r="BB4" s="9" t="s">
        <v>2</v>
      </c>
      <c r="BG4" s="19" t="s">
        <v>2</v>
      </c>
      <c r="BH4" s="9" t="s">
        <v>2</v>
      </c>
      <c r="BI4" s="9" t="s">
        <v>2</v>
      </c>
      <c r="BJ4" s="9" t="s">
        <v>2</v>
      </c>
      <c r="BK4" s="9" t="s">
        <v>2</v>
      </c>
      <c r="BL4" s="9" t="s">
        <v>2</v>
      </c>
      <c r="BM4" s="9" t="s">
        <v>2</v>
      </c>
      <c r="BN4" s="9" t="s">
        <v>2</v>
      </c>
      <c r="BO4" s="9" t="s">
        <v>2</v>
      </c>
      <c r="BP4" s="9" t="s">
        <v>2</v>
      </c>
      <c r="BU4" s="19" t="s">
        <v>2</v>
      </c>
      <c r="BV4" s="9" t="s">
        <v>2</v>
      </c>
      <c r="BW4" s="9" t="s">
        <v>2</v>
      </c>
      <c r="BX4" s="9" t="s">
        <v>2</v>
      </c>
      <c r="BY4" s="9" t="s">
        <v>2</v>
      </c>
      <c r="BZ4" s="9" t="s">
        <v>2</v>
      </c>
      <c r="CA4" s="9" t="s">
        <v>2</v>
      </c>
      <c r="CB4" s="9" t="s">
        <v>2</v>
      </c>
      <c r="CC4" s="9" t="s">
        <v>2</v>
      </c>
      <c r="CD4" s="9" t="s">
        <v>2</v>
      </c>
      <c r="CI4" s="9" t="s">
        <v>2</v>
      </c>
      <c r="CJ4" s="9" t="s">
        <v>2</v>
      </c>
      <c r="CK4" s="9" t="s">
        <v>2</v>
      </c>
      <c r="CL4" s="9" t="s">
        <v>2</v>
      </c>
      <c r="CM4" s="9" t="s">
        <v>99</v>
      </c>
    </row>
    <row r="5" spans="1:92" x14ac:dyDescent="0.25">
      <c r="A5" s="9" t="s">
        <v>301</v>
      </c>
      <c r="B5" s="3" t="s">
        <v>692</v>
      </c>
      <c r="C5" s="9" t="s">
        <v>391</v>
      </c>
      <c r="D5" s="9" t="s">
        <v>862</v>
      </c>
      <c r="E5" s="9"/>
      <c r="F5" s="9" t="s">
        <v>2</v>
      </c>
      <c r="G5" s="9" t="s">
        <v>824</v>
      </c>
      <c r="H5" s="9" t="s">
        <v>825</v>
      </c>
      <c r="I5" s="9" t="s">
        <v>804</v>
      </c>
      <c r="J5" s="9" t="s">
        <v>924</v>
      </c>
      <c r="K5" s="9" t="s">
        <v>923</v>
      </c>
      <c r="L5" s="9" t="s">
        <v>634</v>
      </c>
      <c r="M5" s="9" t="s">
        <v>806</v>
      </c>
      <c r="N5" s="9" t="s">
        <v>779</v>
      </c>
      <c r="O5" s="9" t="s">
        <v>302</v>
      </c>
      <c r="P5" s="9" t="s">
        <v>323</v>
      </c>
      <c r="Q5" s="21" t="s">
        <v>808</v>
      </c>
      <c r="R5" s="9" t="s">
        <v>324</v>
      </c>
      <c r="S5" s="9" t="s">
        <v>304</v>
      </c>
      <c r="T5" s="9">
        <v>1</v>
      </c>
      <c r="U5" s="19" t="s">
        <v>305</v>
      </c>
      <c r="V5" s="9" t="s">
        <v>781</v>
      </c>
      <c r="W5" s="9">
        <v>1</v>
      </c>
      <c r="X5" s="9" t="s">
        <v>307</v>
      </c>
      <c r="Y5" s="9">
        <v>7</v>
      </c>
      <c r="Z5" s="9">
        <v>100</v>
      </c>
      <c r="AA5" s="9">
        <v>50</v>
      </c>
      <c r="AB5" s="9" t="s">
        <v>909</v>
      </c>
      <c r="AC5" s="9" t="s">
        <v>910</v>
      </c>
      <c r="AD5" s="20" t="s">
        <v>2</v>
      </c>
      <c r="AL5" s="9" t="s">
        <v>909</v>
      </c>
      <c r="AM5" s="9" t="s">
        <v>910</v>
      </c>
      <c r="AR5" s="20" t="s">
        <v>2</v>
      </c>
      <c r="CI5" s="9" t="s">
        <v>640</v>
      </c>
      <c r="CJ5" s="9" t="s">
        <v>641</v>
      </c>
      <c r="CK5" s="9" t="s">
        <v>642</v>
      </c>
      <c r="CL5" s="9" t="s">
        <v>852</v>
      </c>
      <c r="CM5" s="9" t="str">
        <f t="shared" ref="CM5:CM18" si="0">CONCATENATE("Product : ",G5,"-",H5," details added successfully.")</f>
        <v>Product : Ser_1_PRD-Ser_1_CODE details added successfully.</v>
      </c>
      <c r="CN5" s="9" t="s">
        <v>581</v>
      </c>
    </row>
    <row r="6" spans="1:92" x14ac:dyDescent="0.25">
      <c r="A6" s="9" t="s">
        <v>311</v>
      </c>
      <c r="B6" s="3" t="s">
        <v>800</v>
      </c>
      <c r="C6" s="9" t="s">
        <v>391</v>
      </c>
      <c r="D6" s="9" t="s">
        <v>862</v>
      </c>
      <c r="E6" s="9"/>
      <c r="F6" s="9" t="s">
        <v>2</v>
      </c>
      <c r="G6" s="9" t="s">
        <v>826</v>
      </c>
      <c r="H6" s="9" t="s">
        <v>827</v>
      </c>
      <c r="I6" s="9" t="s">
        <v>778</v>
      </c>
      <c r="J6" s="9" t="s">
        <v>924</v>
      </c>
      <c r="K6" s="9" t="s">
        <v>923</v>
      </c>
      <c r="L6" s="9" t="s">
        <v>303</v>
      </c>
      <c r="M6" s="9" t="s">
        <v>806</v>
      </c>
      <c r="N6" s="9" t="s">
        <v>779</v>
      </c>
      <c r="O6" s="9" t="s">
        <v>302</v>
      </c>
      <c r="P6" s="9" t="s">
        <v>323</v>
      </c>
      <c r="Q6" s="21" t="s">
        <v>808</v>
      </c>
      <c r="R6" s="9" t="s">
        <v>324</v>
      </c>
      <c r="S6" s="9" t="s">
        <v>304</v>
      </c>
      <c r="T6" s="9">
        <v>12</v>
      </c>
      <c r="U6" s="19" t="s">
        <v>305</v>
      </c>
      <c r="V6" s="9" t="s">
        <v>781</v>
      </c>
      <c r="W6" s="9">
        <v>1</v>
      </c>
      <c r="X6" s="9" t="s">
        <v>307</v>
      </c>
      <c r="Y6" s="9">
        <v>7</v>
      </c>
      <c r="Z6" s="9">
        <v>100</v>
      </c>
      <c r="AA6" s="9">
        <v>50</v>
      </c>
      <c r="AB6" s="9" t="s">
        <v>909</v>
      </c>
      <c r="AC6" s="9" t="s">
        <v>910</v>
      </c>
      <c r="AD6" s="20" t="s">
        <v>2</v>
      </c>
      <c r="AE6" s="19" t="s">
        <v>308</v>
      </c>
      <c r="AF6" s="9" t="s">
        <v>780</v>
      </c>
      <c r="AG6" s="9">
        <v>2</v>
      </c>
      <c r="AH6" s="9" t="s">
        <v>310</v>
      </c>
      <c r="AI6" s="9">
        <v>7</v>
      </c>
      <c r="AJ6" s="9">
        <v>100</v>
      </c>
      <c r="AK6" s="9">
        <v>50</v>
      </c>
      <c r="AL6" s="9" t="s">
        <v>909</v>
      </c>
      <c r="AM6" s="9" t="s">
        <v>910</v>
      </c>
      <c r="AO6" s="9" t="s">
        <v>904</v>
      </c>
      <c r="AP6" s="29" t="s">
        <v>919</v>
      </c>
      <c r="AQ6" s="9" t="s">
        <v>909</v>
      </c>
      <c r="AR6" s="20" t="s">
        <v>910</v>
      </c>
      <c r="CI6" s="9" t="s">
        <v>640</v>
      </c>
      <c r="CJ6" s="9" t="s">
        <v>641</v>
      </c>
      <c r="CK6" s="9" t="s">
        <v>642</v>
      </c>
      <c r="CL6" s="9" t="s">
        <v>644</v>
      </c>
      <c r="CM6" s="9" t="str">
        <f t="shared" si="0"/>
        <v>Product : Agg_12_PRD-Agg_12_CODE details added successfully.</v>
      </c>
      <c r="CN6" s="9" t="s">
        <v>581</v>
      </c>
    </row>
    <row r="7" spans="1:92" x14ac:dyDescent="0.25">
      <c r="A7" s="9" t="s">
        <v>312</v>
      </c>
      <c r="B7" s="3" t="s">
        <v>801</v>
      </c>
      <c r="C7" s="9" t="s">
        <v>391</v>
      </c>
      <c r="D7" s="9" t="s">
        <v>862</v>
      </c>
      <c r="E7" s="9"/>
      <c r="F7" s="9" t="s">
        <v>2</v>
      </c>
      <c r="G7" s="9" t="s">
        <v>828</v>
      </c>
      <c r="H7" s="9" t="s">
        <v>829</v>
      </c>
      <c r="I7" s="9" t="s">
        <v>805</v>
      </c>
      <c r="J7" s="9" t="s">
        <v>924</v>
      </c>
      <c r="K7" s="9" t="s">
        <v>923</v>
      </c>
      <c r="L7" s="9" t="s">
        <v>303</v>
      </c>
      <c r="M7" s="9" t="s">
        <v>806</v>
      </c>
      <c r="N7" s="9" t="s">
        <v>779</v>
      </c>
      <c r="O7" s="9" t="s">
        <v>302</v>
      </c>
      <c r="P7" s="9" t="s">
        <v>323</v>
      </c>
      <c r="Q7" s="21" t="s">
        <v>808</v>
      </c>
      <c r="R7" s="9" t="s">
        <v>324</v>
      </c>
      <c r="S7" s="9" t="s">
        <v>304</v>
      </c>
      <c r="T7" s="9">
        <v>123</v>
      </c>
      <c r="U7" s="19" t="s">
        <v>305</v>
      </c>
      <c r="V7" s="9" t="s">
        <v>781</v>
      </c>
      <c r="W7" s="9">
        <v>1</v>
      </c>
      <c r="X7" s="9" t="s">
        <v>307</v>
      </c>
      <c r="Y7" s="9">
        <v>7</v>
      </c>
      <c r="Z7" s="9">
        <v>100</v>
      </c>
      <c r="AA7" s="9">
        <v>50</v>
      </c>
      <c r="AB7" s="9" t="s">
        <v>909</v>
      </c>
      <c r="AC7" s="9" t="s">
        <v>910</v>
      </c>
      <c r="AD7" s="20" t="s">
        <v>2</v>
      </c>
      <c r="AE7" s="19" t="s">
        <v>308</v>
      </c>
      <c r="AF7" s="9" t="s">
        <v>780</v>
      </c>
      <c r="AG7" s="9">
        <v>2</v>
      </c>
      <c r="AH7" s="9" t="s">
        <v>310</v>
      </c>
      <c r="AI7" s="9">
        <v>7</v>
      </c>
      <c r="AJ7" s="9">
        <v>100</v>
      </c>
      <c r="AK7" s="9">
        <v>50</v>
      </c>
      <c r="AL7" s="9" t="s">
        <v>909</v>
      </c>
      <c r="AM7" s="9" t="s">
        <v>910</v>
      </c>
      <c r="AO7" s="9" t="s">
        <v>862</v>
      </c>
      <c r="AP7" s="29" t="s">
        <v>919</v>
      </c>
      <c r="AQ7" s="9" t="s">
        <v>909</v>
      </c>
      <c r="AR7" s="20" t="s">
        <v>910</v>
      </c>
      <c r="AS7" s="19" t="s">
        <v>630</v>
      </c>
      <c r="AT7" s="9" t="s">
        <v>782</v>
      </c>
      <c r="AU7" s="9">
        <v>2</v>
      </c>
      <c r="AV7" s="9" t="s">
        <v>646</v>
      </c>
      <c r="AW7" s="9">
        <v>7</v>
      </c>
      <c r="AX7" s="9">
        <v>100</v>
      </c>
      <c r="AY7" s="9">
        <v>50</v>
      </c>
      <c r="AZ7" s="9" t="s">
        <v>909</v>
      </c>
      <c r="BA7" s="9" t="s">
        <v>910</v>
      </c>
      <c r="BB7" s="9" t="s">
        <v>2</v>
      </c>
      <c r="CI7" s="9" t="s">
        <v>640</v>
      </c>
      <c r="CJ7" s="9" t="s">
        <v>641</v>
      </c>
      <c r="CK7" s="9" t="s">
        <v>642</v>
      </c>
      <c r="CL7" s="9" t="s">
        <v>644</v>
      </c>
      <c r="CM7" s="9" t="str">
        <f t="shared" si="0"/>
        <v>Product : Agg_123_PRD-Agg_123_CODE details added successfully.</v>
      </c>
      <c r="CN7" s="9" t="s">
        <v>581</v>
      </c>
    </row>
    <row r="8" spans="1:92" x14ac:dyDescent="0.25">
      <c r="A8" s="9" t="s">
        <v>313</v>
      </c>
      <c r="B8" s="3" t="s">
        <v>853</v>
      </c>
      <c r="C8" s="9" t="s">
        <v>391</v>
      </c>
      <c r="D8" s="9" t="s">
        <v>862</v>
      </c>
      <c r="E8" s="9"/>
      <c r="F8" s="9" t="s">
        <v>2</v>
      </c>
      <c r="G8" s="9" t="s">
        <v>830</v>
      </c>
      <c r="H8" s="9" t="s">
        <v>831</v>
      </c>
      <c r="I8" s="9" t="s">
        <v>810</v>
      </c>
      <c r="J8" s="9" t="s">
        <v>924</v>
      </c>
      <c r="K8" s="9" t="s">
        <v>923</v>
      </c>
      <c r="L8" s="9" t="s">
        <v>303</v>
      </c>
      <c r="M8" s="9" t="s">
        <v>806</v>
      </c>
      <c r="N8" s="9" t="s">
        <v>779</v>
      </c>
      <c r="O8" s="9" t="s">
        <v>302</v>
      </c>
      <c r="P8" s="9" t="s">
        <v>323</v>
      </c>
      <c r="Q8" s="21" t="s">
        <v>808</v>
      </c>
      <c r="R8" s="9" t="s">
        <v>324</v>
      </c>
      <c r="S8" s="9" t="s">
        <v>304</v>
      </c>
      <c r="T8" s="9">
        <v>123</v>
      </c>
      <c r="U8" s="19" t="s">
        <v>305</v>
      </c>
      <c r="V8" s="9" t="s">
        <v>781</v>
      </c>
      <c r="W8" s="9">
        <v>1</v>
      </c>
      <c r="X8" s="9" t="s">
        <v>307</v>
      </c>
      <c r="Y8" s="9">
        <v>7</v>
      </c>
      <c r="Z8" s="9">
        <v>100</v>
      </c>
      <c r="AA8" s="9">
        <v>50</v>
      </c>
      <c r="AB8" s="9" t="s">
        <v>909</v>
      </c>
      <c r="AC8" s="9" t="s">
        <v>910</v>
      </c>
      <c r="AD8" s="20" t="s">
        <v>2</v>
      </c>
      <c r="AE8" s="19" t="s">
        <v>308</v>
      </c>
      <c r="AF8" s="9" t="s">
        <v>780</v>
      </c>
      <c r="AG8" s="9">
        <v>2</v>
      </c>
      <c r="AH8" s="9" t="s">
        <v>310</v>
      </c>
      <c r="AI8" s="9">
        <v>7</v>
      </c>
      <c r="AJ8" s="9">
        <v>100</v>
      </c>
      <c r="AK8" s="9">
        <v>50</v>
      </c>
      <c r="AL8" s="9" t="s">
        <v>909</v>
      </c>
      <c r="AM8" s="9" t="s">
        <v>910</v>
      </c>
      <c r="AS8" s="19" t="s">
        <v>630</v>
      </c>
      <c r="AT8" s="9" t="s">
        <v>782</v>
      </c>
      <c r="AU8" s="9">
        <v>2</v>
      </c>
      <c r="AV8" s="9" t="s">
        <v>646</v>
      </c>
      <c r="AW8" s="9">
        <v>7</v>
      </c>
      <c r="AX8" s="9">
        <v>100</v>
      </c>
      <c r="AY8" s="9">
        <v>50</v>
      </c>
      <c r="AZ8" s="9" t="s">
        <v>909</v>
      </c>
      <c r="BA8" s="9" t="s">
        <v>910</v>
      </c>
      <c r="BB8" s="9" t="s">
        <v>918</v>
      </c>
      <c r="BC8" s="9" t="s">
        <v>862</v>
      </c>
      <c r="BD8" s="9" t="s">
        <v>919</v>
      </c>
      <c r="BE8" s="9" t="s">
        <v>909</v>
      </c>
      <c r="BF8" s="30" t="s">
        <v>910</v>
      </c>
      <c r="CI8" s="9" t="s">
        <v>640</v>
      </c>
      <c r="CJ8" s="9" t="s">
        <v>641</v>
      </c>
      <c r="CK8" s="9" t="s">
        <v>642</v>
      </c>
      <c r="CL8" s="9" t="s">
        <v>644</v>
      </c>
      <c r="CM8" s="9" t="str">
        <f t="shared" si="0"/>
        <v>Product : Agg_123S_PRD-Agg_123S_CODE details added successfully.</v>
      </c>
      <c r="CN8" s="9" t="s">
        <v>581</v>
      </c>
    </row>
    <row r="9" spans="1:92" x14ac:dyDescent="0.25">
      <c r="A9" s="9" t="s">
        <v>314</v>
      </c>
      <c r="B9" s="3" t="s">
        <v>854</v>
      </c>
      <c r="C9" s="9" t="s">
        <v>391</v>
      </c>
      <c r="D9" s="9" t="s">
        <v>862</v>
      </c>
      <c r="E9" s="9"/>
      <c r="F9" s="9" t="s">
        <v>2</v>
      </c>
      <c r="G9" s="9" t="s">
        <v>832</v>
      </c>
      <c r="H9" s="9" t="s">
        <v>833</v>
      </c>
      <c r="I9" s="9" t="s">
        <v>809</v>
      </c>
      <c r="J9" s="9" t="s">
        <v>924</v>
      </c>
      <c r="K9" s="9" t="s">
        <v>923</v>
      </c>
      <c r="L9" s="9" t="s">
        <v>303</v>
      </c>
      <c r="M9" s="9" t="s">
        <v>806</v>
      </c>
      <c r="N9" s="9" t="s">
        <v>779</v>
      </c>
      <c r="O9" s="9" t="s">
        <v>302</v>
      </c>
      <c r="P9" s="9" t="s">
        <v>323</v>
      </c>
      <c r="Q9" s="21" t="s">
        <v>808</v>
      </c>
      <c r="R9" s="9" t="s">
        <v>324</v>
      </c>
      <c r="S9" s="9" t="s">
        <v>304</v>
      </c>
      <c r="T9" s="9">
        <v>1236</v>
      </c>
      <c r="U9" s="19" t="s">
        <v>305</v>
      </c>
      <c r="V9" s="9" t="s">
        <v>781</v>
      </c>
      <c r="W9" s="9">
        <v>1</v>
      </c>
      <c r="X9" s="9" t="s">
        <v>307</v>
      </c>
      <c r="Y9" s="9">
        <v>7</v>
      </c>
      <c r="Z9" s="9">
        <v>100</v>
      </c>
      <c r="AA9" s="9">
        <v>50</v>
      </c>
      <c r="AB9" s="9" t="s">
        <v>909</v>
      </c>
      <c r="AC9" s="9" t="s">
        <v>910</v>
      </c>
      <c r="AD9" s="20" t="s">
        <v>2</v>
      </c>
      <c r="AE9" s="19" t="s">
        <v>308</v>
      </c>
      <c r="AF9" s="9" t="s">
        <v>780</v>
      </c>
      <c r="AG9" s="9">
        <v>2</v>
      </c>
      <c r="AH9" s="9" t="s">
        <v>310</v>
      </c>
      <c r="AI9" s="9">
        <v>7</v>
      </c>
      <c r="AJ9" s="9">
        <v>100</v>
      </c>
      <c r="AK9" s="9">
        <v>50</v>
      </c>
      <c r="AL9" s="9" t="s">
        <v>909</v>
      </c>
      <c r="AM9" s="9" t="s">
        <v>910</v>
      </c>
      <c r="AR9" s="20" t="s">
        <v>2</v>
      </c>
      <c r="AS9" s="19" t="s">
        <v>630</v>
      </c>
      <c r="AT9" s="9" t="s">
        <v>782</v>
      </c>
      <c r="AU9" s="9">
        <v>2</v>
      </c>
      <c r="AV9" s="9" t="s">
        <v>646</v>
      </c>
      <c r="AW9" s="9">
        <v>7</v>
      </c>
      <c r="AX9" s="9">
        <v>100</v>
      </c>
      <c r="AY9" s="9">
        <v>50</v>
      </c>
      <c r="AZ9" s="9" t="s">
        <v>909</v>
      </c>
      <c r="BA9" s="9" t="s">
        <v>910</v>
      </c>
      <c r="BC9" s="9" t="s">
        <v>862</v>
      </c>
      <c r="BD9" s="9" t="s">
        <v>919</v>
      </c>
      <c r="BE9" s="9" t="s">
        <v>909</v>
      </c>
      <c r="BF9" s="30" t="s">
        <v>910</v>
      </c>
      <c r="BU9" s="19" t="s">
        <v>633</v>
      </c>
      <c r="BV9" s="9" t="s">
        <v>795</v>
      </c>
      <c r="BW9" s="9">
        <v>2</v>
      </c>
      <c r="BX9" s="9" t="s">
        <v>632</v>
      </c>
      <c r="BY9" s="9">
        <v>7</v>
      </c>
      <c r="BZ9" s="9">
        <v>100</v>
      </c>
      <c r="CA9" s="9">
        <v>50</v>
      </c>
      <c r="CB9" s="9" t="s">
        <v>909</v>
      </c>
      <c r="CC9" s="9" t="s">
        <v>910</v>
      </c>
      <c r="CD9" s="9" t="s">
        <v>918</v>
      </c>
      <c r="CH9" s="30"/>
      <c r="CI9" s="9" t="s">
        <v>640</v>
      </c>
      <c r="CJ9" s="9" t="s">
        <v>641</v>
      </c>
      <c r="CK9" s="9" t="s">
        <v>642</v>
      </c>
      <c r="CL9" s="9" t="s">
        <v>644</v>
      </c>
      <c r="CM9" s="9" t="str">
        <f t="shared" si="0"/>
        <v>Product : Agg_1236S_PRD-Agg_1236S_CODE details added successfully.</v>
      </c>
      <c r="CN9" s="9" t="s">
        <v>581</v>
      </c>
    </row>
    <row r="10" spans="1:92" x14ac:dyDescent="0.25">
      <c r="A10" s="9" t="s">
        <v>629</v>
      </c>
      <c r="B10" s="3" t="s">
        <v>796</v>
      </c>
      <c r="C10" s="9" t="s">
        <v>391</v>
      </c>
      <c r="D10" s="9" t="s">
        <v>862</v>
      </c>
      <c r="E10" s="9"/>
      <c r="F10" s="9" t="s">
        <v>2</v>
      </c>
      <c r="G10" s="9" t="s">
        <v>834</v>
      </c>
      <c r="H10" s="9" t="s">
        <v>835</v>
      </c>
      <c r="I10" s="9" t="s">
        <v>797</v>
      </c>
      <c r="J10" s="9" t="s">
        <v>924</v>
      </c>
      <c r="K10" s="9" t="s">
        <v>923</v>
      </c>
      <c r="L10" s="9" t="s">
        <v>634</v>
      </c>
      <c r="M10" s="9" t="s">
        <v>806</v>
      </c>
      <c r="N10" s="9" t="s">
        <v>779</v>
      </c>
      <c r="O10" s="9" t="s">
        <v>302</v>
      </c>
      <c r="P10" s="9" t="s">
        <v>323</v>
      </c>
      <c r="Q10" s="21" t="s">
        <v>808</v>
      </c>
      <c r="R10" s="9" t="s">
        <v>324</v>
      </c>
      <c r="S10" s="9" t="s">
        <v>304</v>
      </c>
      <c r="T10" s="9">
        <v>2</v>
      </c>
      <c r="AE10" s="19" t="s">
        <v>308</v>
      </c>
      <c r="AF10" s="9" t="s">
        <v>780</v>
      </c>
      <c r="AG10" s="9">
        <v>2</v>
      </c>
      <c r="AH10" s="9" t="s">
        <v>310</v>
      </c>
      <c r="AI10" s="9">
        <v>7</v>
      </c>
      <c r="AJ10" s="9">
        <v>100</v>
      </c>
      <c r="AK10" s="9">
        <v>50</v>
      </c>
      <c r="AL10" s="9" t="s">
        <v>909</v>
      </c>
      <c r="AM10" s="9" t="s">
        <v>910</v>
      </c>
      <c r="AR10" s="20" t="s">
        <v>2</v>
      </c>
      <c r="CI10" s="9" t="s">
        <v>640</v>
      </c>
      <c r="CJ10" s="9" t="s">
        <v>641</v>
      </c>
      <c r="CK10" s="9" t="s">
        <v>642</v>
      </c>
      <c r="CL10" s="9" t="s">
        <v>852</v>
      </c>
      <c r="CM10" s="9" t="str">
        <f t="shared" si="0"/>
        <v>Product : Ser_2_PRD-Ser_2_CODE details added successfully.</v>
      </c>
      <c r="CN10" s="9" t="s">
        <v>581</v>
      </c>
    </row>
    <row r="11" spans="1:92" x14ac:dyDescent="0.25">
      <c r="A11" s="9" t="s">
        <v>631</v>
      </c>
      <c r="B11" s="3" t="s">
        <v>798</v>
      </c>
      <c r="C11" s="9" t="s">
        <v>391</v>
      </c>
      <c r="D11" s="9" t="s">
        <v>862</v>
      </c>
      <c r="E11" s="9"/>
      <c r="F11" s="9" t="s">
        <v>2</v>
      </c>
      <c r="G11" s="9" t="s">
        <v>836</v>
      </c>
      <c r="H11" s="9" t="s">
        <v>837</v>
      </c>
      <c r="I11" s="9" t="s">
        <v>802</v>
      </c>
      <c r="J11" s="9" t="s">
        <v>924</v>
      </c>
      <c r="K11" s="9" t="s">
        <v>923</v>
      </c>
      <c r="L11" s="9" t="s">
        <v>634</v>
      </c>
      <c r="M11" s="9" t="s">
        <v>806</v>
      </c>
      <c r="N11" s="9" t="s">
        <v>779</v>
      </c>
      <c r="O11" s="9" t="s">
        <v>302</v>
      </c>
      <c r="P11" s="9" t="s">
        <v>323</v>
      </c>
      <c r="Q11" s="21" t="s">
        <v>808</v>
      </c>
      <c r="R11" s="9" t="s">
        <v>324</v>
      </c>
      <c r="S11" s="9" t="s">
        <v>304</v>
      </c>
      <c r="T11" s="9">
        <v>23</v>
      </c>
      <c r="AE11" s="19" t="s">
        <v>308</v>
      </c>
      <c r="AF11" s="9" t="s">
        <v>780</v>
      </c>
      <c r="AG11" s="9">
        <v>2</v>
      </c>
      <c r="AH11" s="9" t="s">
        <v>310</v>
      </c>
      <c r="AI11" s="9">
        <v>7</v>
      </c>
      <c r="AJ11" s="9">
        <v>100</v>
      </c>
      <c r="AK11" s="9">
        <v>50</v>
      </c>
      <c r="AL11" s="9" t="s">
        <v>909</v>
      </c>
      <c r="AM11" s="9" t="s">
        <v>910</v>
      </c>
      <c r="AR11" s="20" t="s">
        <v>2</v>
      </c>
      <c r="AS11" s="19" t="s">
        <v>630</v>
      </c>
      <c r="AT11" s="9" t="s">
        <v>782</v>
      </c>
      <c r="AU11" s="9">
        <v>2</v>
      </c>
      <c r="AV11" s="9" t="s">
        <v>646</v>
      </c>
      <c r="AW11" s="9">
        <v>7</v>
      </c>
      <c r="AX11" s="9">
        <v>100</v>
      </c>
      <c r="AY11" s="9">
        <v>50</v>
      </c>
      <c r="AZ11" s="9" t="s">
        <v>909</v>
      </c>
      <c r="BA11" s="9" t="s">
        <v>910</v>
      </c>
      <c r="BC11" s="9" t="s">
        <v>862</v>
      </c>
      <c r="BD11" s="9" t="s">
        <v>919</v>
      </c>
      <c r="BE11" s="9" t="s">
        <v>909</v>
      </c>
      <c r="BF11" s="30" t="s">
        <v>910</v>
      </c>
      <c r="CI11" s="9" t="s">
        <v>640</v>
      </c>
      <c r="CJ11" s="9" t="s">
        <v>641</v>
      </c>
      <c r="CK11" s="9" t="s">
        <v>642</v>
      </c>
      <c r="CL11" s="9" t="s">
        <v>852</v>
      </c>
      <c r="CM11" s="9" t="str">
        <f t="shared" si="0"/>
        <v>Product : Ser_23_PRD-Ser_23_CODE details added successfully.</v>
      </c>
      <c r="CN11" s="9" t="s">
        <v>581</v>
      </c>
    </row>
    <row r="12" spans="1:92" x14ac:dyDescent="0.25">
      <c r="A12" s="9" t="s">
        <v>815</v>
      </c>
      <c r="B12" s="3" t="s">
        <v>855</v>
      </c>
      <c r="C12" s="9" t="s">
        <v>391</v>
      </c>
      <c r="D12" s="9" t="s">
        <v>862</v>
      </c>
      <c r="E12" s="9"/>
      <c r="F12" s="9" t="s">
        <v>2</v>
      </c>
      <c r="G12" s="9" t="s">
        <v>838</v>
      </c>
      <c r="H12" s="9" t="s">
        <v>839</v>
      </c>
      <c r="I12" s="9" t="s">
        <v>811</v>
      </c>
      <c r="J12" s="9" t="s">
        <v>924</v>
      </c>
      <c r="K12" s="9" t="s">
        <v>923</v>
      </c>
      <c r="L12" s="9" t="s">
        <v>303</v>
      </c>
      <c r="M12" s="9" t="s">
        <v>806</v>
      </c>
      <c r="N12" s="9" t="s">
        <v>779</v>
      </c>
      <c r="O12" s="9" t="s">
        <v>302</v>
      </c>
      <c r="P12" s="9" t="s">
        <v>323</v>
      </c>
      <c r="Q12" s="21" t="s">
        <v>808</v>
      </c>
      <c r="R12" s="9" t="s">
        <v>324</v>
      </c>
      <c r="S12" s="9" t="s">
        <v>304</v>
      </c>
      <c r="T12" s="9">
        <v>23</v>
      </c>
      <c r="AE12" s="19" t="s">
        <v>308</v>
      </c>
      <c r="AF12" s="9" t="s">
        <v>780</v>
      </c>
      <c r="AG12" s="9">
        <v>2</v>
      </c>
      <c r="AH12" s="9" t="s">
        <v>310</v>
      </c>
      <c r="AI12" s="9">
        <v>7</v>
      </c>
      <c r="AJ12" s="9">
        <v>100</v>
      </c>
      <c r="AK12" s="9">
        <v>50</v>
      </c>
      <c r="AL12" s="9" t="s">
        <v>909</v>
      </c>
      <c r="AM12" s="9" t="s">
        <v>910</v>
      </c>
      <c r="AR12" s="20" t="s">
        <v>2</v>
      </c>
      <c r="AS12" s="19" t="s">
        <v>630</v>
      </c>
      <c r="AT12" s="9" t="s">
        <v>782</v>
      </c>
      <c r="AU12" s="9">
        <v>2</v>
      </c>
      <c r="AV12" s="9" t="s">
        <v>646</v>
      </c>
      <c r="AW12" s="9">
        <v>7</v>
      </c>
      <c r="AX12" s="9">
        <v>100</v>
      </c>
      <c r="AY12" s="9">
        <v>50</v>
      </c>
      <c r="AZ12" s="9" t="s">
        <v>909</v>
      </c>
      <c r="BA12" s="9" t="s">
        <v>910</v>
      </c>
      <c r="BB12" s="9" t="s">
        <v>918</v>
      </c>
      <c r="BF12" s="30"/>
      <c r="CI12" s="9" t="s">
        <v>640</v>
      </c>
      <c r="CJ12" s="9" t="s">
        <v>641</v>
      </c>
      <c r="CK12" s="9" t="s">
        <v>642</v>
      </c>
      <c r="CL12" s="9" t="s">
        <v>852</v>
      </c>
      <c r="CM12" s="9" t="str">
        <f t="shared" si="0"/>
        <v>Product : Agg_23S_PRD-Agg_23S_CODE details added successfully.</v>
      </c>
      <c r="CN12" s="9" t="s">
        <v>581</v>
      </c>
    </row>
    <row r="13" spans="1:92" x14ac:dyDescent="0.25">
      <c r="A13" s="9" t="s">
        <v>816</v>
      </c>
      <c r="B13" s="3" t="s">
        <v>799</v>
      </c>
      <c r="C13" s="9" t="s">
        <v>391</v>
      </c>
      <c r="D13" s="9" t="s">
        <v>862</v>
      </c>
      <c r="E13" s="9"/>
      <c r="F13" s="9" t="s">
        <v>2</v>
      </c>
      <c r="G13" s="9" t="s">
        <v>840</v>
      </c>
      <c r="H13" s="9" t="s">
        <v>841</v>
      </c>
      <c r="I13" s="9" t="s">
        <v>803</v>
      </c>
      <c r="J13" s="9" t="s">
        <v>924</v>
      </c>
      <c r="K13" s="9" t="s">
        <v>923</v>
      </c>
      <c r="L13" s="9" t="s">
        <v>634</v>
      </c>
      <c r="M13" s="9" t="s">
        <v>806</v>
      </c>
      <c r="N13" s="9" t="s">
        <v>779</v>
      </c>
      <c r="O13" s="9" t="s">
        <v>302</v>
      </c>
      <c r="P13" s="9" t="s">
        <v>323</v>
      </c>
      <c r="Q13" s="21" t="s">
        <v>808</v>
      </c>
      <c r="R13" s="9" t="s">
        <v>324</v>
      </c>
      <c r="S13" s="9" t="s">
        <v>304</v>
      </c>
      <c r="T13" s="9">
        <v>234</v>
      </c>
      <c r="AE13" s="19" t="s">
        <v>308</v>
      </c>
      <c r="AF13" s="9" t="s">
        <v>780</v>
      </c>
      <c r="AG13" s="9">
        <v>2</v>
      </c>
      <c r="AH13" s="9" t="s">
        <v>310</v>
      </c>
      <c r="AI13" s="9">
        <v>7</v>
      </c>
      <c r="AJ13" s="9">
        <v>100</v>
      </c>
      <c r="AK13" s="9">
        <v>50</v>
      </c>
      <c r="AL13" s="9" t="s">
        <v>909</v>
      </c>
      <c r="AM13" s="9" t="s">
        <v>910</v>
      </c>
      <c r="AR13" s="20" t="s">
        <v>2</v>
      </c>
      <c r="AS13" s="19" t="s">
        <v>630</v>
      </c>
      <c r="AT13" s="9" t="s">
        <v>782</v>
      </c>
      <c r="AU13" s="9">
        <v>2</v>
      </c>
      <c r="AV13" s="9" t="s">
        <v>646</v>
      </c>
      <c r="AW13" s="9">
        <v>7</v>
      </c>
      <c r="AX13" s="9">
        <v>100</v>
      </c>
      <c r="AY13" s="9">
        <v>50</v>
      </c>
      <c r="AZ13" s="9" t="s">
        <v>909</v>
      </c>
      <c r="BA13" s="9" t="s">
        <v>910</v>
      </c>
      <c r="BG13" s="19" t="s">
        <v>645</v>
      </c>
      <c r="BH13" s="9" t="s">
        <v>783</v>
      </c>
      <c r="BI13" s="9">
        <v>2</v>
      </c>
      <c r="BJ13" s="9" t="s">
        <v>784</v>
      </c>
      <c r="BK13" s="9">
        <v>7</v>
      </c>
      <c r="BL13" s="9">
        <v>100</v>
      </c>
      <c r="BM13" s="9">
        <v>50</v>
      </c>
      <c r="BN13" s="9" t="s">
        <v>909</v>
      </c>
      <c r="BO13" s="9" t="s">
        <v>910</v>
      </c>
      <c r="BQ13" s="9" t="s">
        <v>862</v>
      </c>
      <c r="BR13" s="9" t="s">
        <v>919</v>
      </c>
      <c r="BS13" s="9" t="s">
        <v>909</v>
      </c>
      <c r="BT13" s="30" t="s">
        <v>910</v>
      </c>
      <c r="CI13" s="9" t="s">
        <v>640</v>
      </c>
      <c r="CJ13" s="9" t="s">
        <v>641</v>
      </c>
      <c r="CK13" s="9" t="s">
        <v>642</v>
      </c>
      <c r="CL13" s="9" t="s">
        <v>852</v>
      </c>
      <c r="CM13" s="9" t="str">
        <f t="shared" si="0"/>
        <v>Product : Ser_234_PRD-Ser_234_CODE details added successfully.</v>
      </c>
      <c r="CN13" s="9" t="s">
        <v>581</v>
      </c>
    </row>
    <row r="14" spans="1:92" x14ac:dyDescent="0.25">
      <c r="A14" s="9" t="s">
        <v>817</v>
      </c>
      <c r="B14" s="3" t="s">
        <v>856</v>
      </c>
      <c r="C14" s="9" t="s">
        <v>391</v>
      </c>
      <c r="D14" s="9" t="s">
        <v>862</v>
      </c>
      <c r="E14" s="9"/>
      <c r="F14" s="9" t="s">
        <v>2</v>
      </c>
      <c r="G14" s="9" t="s">
        <v>842</v>
      </c>
      <c r="H14" s="9" t="s">
        <v>843</v>
      </c>
      <c r="I14" s="9" t="s">
        <v>812</v>
      </c>
      <c r="J14" s="9" t="s">
        <v>924</v>
      </c>
      <c r="K14" s="9" t="s">
        <v>923</v>
      </c>
      <c r="L14" s="9" t="s">
        <v>303</v>
      </c>
      <c r="M14" s="9" t="s">
        <v>806</v>
      </c>
      <c r="N14" s="9" t="s">
        <v>779</v>
      </c>
      <c r="O14" s="9" t="s">
        <v>302</v>
      </c>
      <c r="P14" s="9" t="s">
        <v>323</v>
      </c>
      <c r="Q14" s="21" t="s">
        <v>808</v>
      </c>
      <c r="R14" s="9" t="s">
        <v>324</v>
      </c>
      <c r="S14" s="9" t="s">
        <v>304</v>
      </c>
      <c r="T14" s="9">
        <v>234</v>
      </c>
      <c r="AE14" s="19" t="s">
        <v>308</v>
      </c>
      <c r="AF14" s="9" t="s">
        <v>780</v>
      </c>
      <c r="AG14" s="9">
        <v>2</v>
      </c>
      <c r="AH14" s="9" t="s">
        <v>310</v>
      </c>
      <c r="AI14" s="9">
        <v>7</v>
      </c>
      <c r="AJ14" s="9">
        <v>100</v>
      </c>
      <c r="AK14" s="9">
        <v>50</v>
      </c>
      <c r="AL14" s="9" t="s">
        <v>909</v>
      </c>
      <c r="AM14" s="9" t="s">
        <v>910</v>
      </c>
      <c r="AR14" s="20" t="s">
        <v>2</v>
      </c>
      <c r="AS14" s="19" t="s">
        <v>630</v>
      </c>
      <c r="AT14" s="9" t="s">
        <v>782</v>
      </c>
      <c r="AU14" s="9">
        <v>2</v>
      </c>
      <c r="AV14" s="9" t="s">
        <v>646</v>
      </c>
      <c r="AW14" s="9">
        <v>7</v>
      </c>
      <c r="AX14" s="9">
        <v>100</v>
      </c>
      <c r="AY14" s="9">
        <v>50</v>
      </c>
      <c r="AZ14" s="9" t="s">
        <v>909</v>
      </c>
      <c r="BA14" s="9" t="s">
        <v>910</v>
      </c>
      <c r="BC14" s="9" t="s">
        <v>862</v>
      </c>
      <c r="BD14" s="9" t="s">
        <v>919</v>
      </c>
      <c r="BE14" s="9" t="s">
        <v>909</v>
      </c>
      <c r="BF14" s="20" t="s">
        <v>910</v>
      </c>
      <c r="BG14" s="19" t="s">
        <v>645</v>
      </c>
      <c r="BH14" s="9" t="s">
        <v>783</v>
      </c>
      <c r="BI14" s="9">
        <v>2</v>
      </c>
      <c r="BJ14" s="9" t="s">
        <v>784</v>
      </c>
      <c r="BK14" s="9">
        <v>7</v>
      </c>
      <c r="BL14" s="9">
        <v>100</v>
      </c>
      <c r="BM14" s="9">
        <v>50</v>
      </c>
      <c r="BN14" s="9" t="s">
        <v>909</v>
      </c>
      <c r="BO14" s="9" t="s">
        <v>910</v>
      </c>
      <c r="BP14" s="9" t="s">
        <v>918</v>
      </c>
      <c r="BT14" s="30"/>
      <c r="CI14" s="9" t="s">
        <v>640</v>
      </c>
      <c r="CJ14" s="9" t="s">
        <v>641</v>
      </c>
      <c r="CK14" s="9" t="s">
        <v>642</v>
      </c>
      <c r="CL14" s="9" t="s">
        <v>852</v>
      </c>
      <c r="CM14" s="9" t="str">
        <f t="shared" si="0"/>
        <v>Product : Agg_234S_PRD-Agg_234S_CODE details added successfully.</v>
      </c>
      <c r="CN14" s="9" t="s">
        <v>581</v>
      </c>
    </row>
    <row r="15" spans="1:92" x14ac:dyDescent="0.25">
      <c r="A15" s="9" t="s">
        <v>818</v>
      </c>
      <c r="B15" s="3" t="s">
        <v>857</v>
      </c>
      <c r="C15" s="9" t="s">
        <v>391</v>
      </c>
      <c r="D15" s="9" t="s">
        <v>862</v>
      </c>
      <c r="E15" s="9"/>
      <c r="F15" s="9" t="s">
        <v>2</v>
      </c>
      <c r="G15" s="9" t="s">
        <v>844</v>
      </c>
      <c r="H15" s="9" t="s">
        <v>845</v>
      </c>
      <c r="I15" s="9" t="s">
        <v>813</v>
      </c>
      <c r="J15" s="9" t="s">
        <v>924</v>
      </c>
      <c r="K15" s="9" t="s">
        <v>923</v>
      </c>
      <c r="L15" s="9" t="s">
        <v>303</v>
      </c>
      <c r="M15" s="9" t="s">
        <v>806</v>
      </c>
      <c r="N15" s="9" t="s">
        <v>779</v>
      </c>
      <c r="O15" s="9" t="s">
        <v>302</v>
      </c>
      <c r="P15" s="9" t="s">
        <v>323</v>
      </c>
      <c r="Q15" s="21" t="s">
        <v>808</v>
      </c>
      <c r="R15" s="9" t="s">
        <v>324</v>
      </c>
      <c r="S15" s="9" t="s">
        <v>304</v>
      </c>
      <c r="T15" s="9">
        <v>236</v>
      </c>
      <c r="AE15" s="19" t="s">
        <v>308</v>
      </c>
      <c r="AF15" s="9" t="s">
        <v>780</v>
      </c>
      <c r="AG15" s="9">
        <v>2</v>
      </c>
      <c r="AH15" s="9" t="s">
        <v>310</v>
      </c>
      <c r="AI15" s="9">
        <v>7</v>
      </c>
      <c r="AJ15" s="9">
        <v>100</v>
      </c>
      <c r="AK15" s="9">
        <v>50</v>
      </c>
      <c r="AL15" s="9" t="s">
        <v>909</v>
      </c>
      <c r="AM15" s="9" t="s">
        <v>910</v>
      </c>
      <c r="AR15" s="20" t="s">
        <v>2</v>
      </c>
      <c r="AS15" s="19" t="s">
        <v>630</v>
      </c>
      <c r="AT15" s="9" t="s">
        <v>782</v>
      </c>
      <c r="AU15" s="9">
        <v>2</v>
      </c>
      <c r="AV15" s="9" t="s">
        <v>646</v>
      </c>
      <c r="AW15" s="9">
        <v>7</v>
      </c>
      <c r="AX15" s="9">
        <v>100</v>
      </c>
      <c r="AY15" s="9">
        <v>50</v>
      </c>
      <c r="AZ15" s="9" t="s">
        <v>909</v>
      </c>
      <c r="BA15" s="9" t="s">
        <v>910</v>
      </c>
      <c r="BC15" s="9" t="s">
        <v>862</v>
      </c>
      <c r="BD15" s="9" t="s">
        <v>919</v>
      </c>
      <c r="BE15" s="9" t="s">
        <v>909</v>
      </c>
      <c r="BF15" s="20" t="s">
        <v>910</v>
      </c>
      <c r="BG15" s="19" t="s">
        <v>645</v>
      </c>
      <c r="BH15" s="9" t="s">
        <v>783</v>
      </c>
      <c r="BI15" s="9">
        <v>2</v>
      </c>
      <c r="BJ15" s="9" t="s">
        <v>784</v>
      </c>
      <c r="BK15" s="9">
        <v>7</v>
      </c>
      <c r="BL15" s="9">
        <v>100</v>
      </c>
      <c r="BM15" s="9">
        <v>50</v>
      </c>
      <c r="BN15" s="9" t="s">
        <v>909</v>
      </c>
      <c r="BO15" s="9" t="s">
        <v>910</v>
      </c>
      <c r="BT15" s="30"/>
      <c r="BU15" s="19" t="s">
        <v>633</v>
      </c>
      <c r="BV15" s="9" t="s">
        <v>795</v>
      </c>
      <c r="BW15" s="9">
        <v>2</v>
      </c>
      <c r="BX15" s="9" t="s">
        <v>632</v>
      </c>
      <c r="BY15" s="9">
        <v>7</v>
      </c>
      <c r="BZ15" s="9">
        <v>100</v>
      </c>
      <c r="CA15" s="9">
        <v>50</v>
      </c>
      <c r="CB15" s="9" t="s">
        <v>909</v>
      </c>
      <c r="CC15" s="9" t="s">
        <v>910</v>
      </c>
      <c r="CD15" s="9" t="s">
        <v>918</v>
      </c>
      <c r="CH15" s="30"/>
      <c r="CI15" s="9" t="s">
        <v>640</v>
      </c>
      <c r="CJ15" s="9" t="s">
        <v>641</v>
      </c>
      <c r="CK15" s="9" t="s">
        <v>642</v>
      </c>
      <c r="CL15" s="9" t="s">
        <v>852</v>
      </c>
      <c r="CM15" s="9" t="str">
        <f t="shared" si="0"/>
        <v>Product : Agg_236S_PRD-Agg_236S_CODE details added successfully.</v>
      </c>
      <c r="CN15" s="9" t="s">
        <v>581</v>
      </c>
    </row>
    <row r="16" spans="1:92" x14ac:dyDescent="0.25">
      <c r="A16" s="9" t="s">
        <v>819</v>
      </c>
      <c r="B16" s="3" t="s">
        <v>858</v>
      </c>
      <c r="C16" s="9" t="s">
        <v>391</v>
      </c>
      <c r="D16" s="9" t="s">
        <v>862</v>
      </c>
      <c r="E16" s="9"/>
      <c r="F16" s="9" t="s">
        <v>2</v>
      </c>
      <c r="G16" s="9" t="s">
        <v>846</v>
      </c>
      <c r="H16" s="9" t="s">
        <v>847</v>
      </c>
      <c r="I16" s="9" t="s">
        <v>814</v>
      </c>
      <c r="J16" s="9" t="s">
        <v>924</v>
      </c>
      <c r="K16" s="9" t="s">
        <v>923</v>
      </c>
      <c r="L16" s="9" t="s">
        <v>303</v>
      </c>
      <c r="M16" s="9" t="s">
        <v>806</v>
      </c>
      <c r="N16" s="9" t="s">
        <v>779</v>
      </c>
      <c r="O16" s="9" t="s">
        <v>302</v>
      </c>
      <c r="P16" s="9" t="s">
        <v>323</v>
      </c>
      <c r="Q16" s="21" t="s">
        <v>808</v>
      </c>
      <c r="R16" s="9" t="s">
        <v>324</v>
      </c>
      <c r="S16" s="9" t="s">
        <v>304</v>
      </c>
      <c r="T16" s="9">
        <v>2346</v>
      </c>
      <c r="AE16" s="19" t="s">
        <v>308</v>
      </c>
      <c r="AF16" s="9" t="s">
        <v>780</v>
      </c>
      <c r="AG16" s="9">
        <v>2</v>
      </c>
      <c r="AH16" s="9" t="s">
        <v>310</v>
      </c>
      <c r="AI16" s="9">
        <v>7</v>
      </c>
      <c r="AJ16" s="9">
        <v>100</v>
      </c>
      <c r="AK16" s="9">
        <v>50</v>
      </c>
      <c r="AL16" s="9" t="s">
        <v>909</v>
      </c>
      <c r="AM16" s="9" t="s">
        <v>910</v>
      </c>
      <c r="AR16" s="20" t="s">
        <v>2</v>
      </c>
      <c r="AS16" s="19" t="s">
        <v>630</v>
      </c>
      <c r="AT16" s="9" t="s">
        <v>782</v>
      </c>
      <c r="AU16" s="9">
        <v>2</v>
      </c>
      <c r="AV16" s="9" t="s">
        <v>646</v>
      </c>
      <c r="AW16" s="9">
        <v>7</v>
      </c>
      <c r="AX16" s="9">
        <v>100</v>
      </c>
      <c r="AY16" s="9">
        <v>50</v>
      </c>
      <c r="AZ16" s="9" t="s">
        <v>909</v>
      </c>
      <c r="BA16" s="9" t="s">
        <v>910</v>
      </c>
      <c r="BG16" s="19" t="s">
        <v>645</v>
      </c>
      <c r="BH16" s="9" t="s">
        <v>783</v>
      </c>
      <c r="BI16" s="9">
        <v>2</v>
      </c>
      <c r="BJ16" s="9" t="s">
        <v>784</v>
      </c>
      <c r="BK16" s="9">
        <v>7</v>
      </c>
      <c r="BL16" s="9">
        <v>100</v>
      </c>
      <c r="BM16" s="9">
        <v>50</v>
      </c>
      <c r="BN16" s="9" t="s">
        <v>909</v>
      </c>
      <c r="BO16" s="9" t="s">
        <v>910</v>
      </c>
      <c r="BT16" s="30"/>
      <c r="BU16" s="19" t="s">
        <v>633</v>
      </c>
      <c r="BV16" s="9" t="s">
        <v>795</v>
      </c>
      <c r="BW16" s="9">
        <v>2</v>
      </c>
      <c r="BX16" s="9" t="s">
        <v>632</v>
      </c>
      <c r="BY16" s="9">
        <v>7</v>
      </c>
      <c r="BZ16" s="9">
        <v>100</v>
      </c>
      <c r="CA16" s="9">
        <v>50</v>
      </c>
      <c r="CB16" s="9" t="s">
        <v>909</v>
      </c>
      <c r="CC16" s="9" t="s">
        <v>910</v>
      </c>
      <c r="CD16" s="9" t="s">
        <v>918</v>
      </c>
      <c r="CH16" s="30"/>
      <c r="CI16" s="9" t="s">
        <v>640</v>
      </c>
      <c r="CJ16" s="9" t="s">
        <v>641</v>
      </c>
      <c r="CK16" s="9" t="s">
        <v>642</v>
      </c>
      <c r="CL16" s="9" t="s">
        <v>852</v>
      </c>
      <c r="CM16" s="9" t="str">
        <f t="shared" si="0"/>
        <v>Product : Agg_2346S_PRD-Agg_2346S_CODE details added successfully.</v>
      </c>
      <c r="CN16" s="9" t="s">
        <v>581</v>
      </c>
    </row>
    <row r="17" spans="1:92" x14ac:dyDescent="0.25">
      <c r="A17" s="9" t="s">
        <v>820</v>
      </c>
      <c r="B17" s="3" t="s">
        <v>859</v>
      </c>
      <c r="C17" s="9" t="s">
        <v>391</v>
      </c>
      <c r="D17" s="9" t="s">
        <v>862</v>
      </c>
      <c r="E17" s="9"/>
      <c r="F17" s="9" t="s">
        <v>2</v>
      </c>
      <c r="G17" s="9" t="s">
        <v>848</v>
      </c>
      <c r="H17" s="9" t="s">
        <v>850</v>
      </c>
      <c r="I17" s="9" t="s">
        <v>822</v>
      </c>
      <c r="J17" s="9" t="s">
        <v>924</v>
      </c>
      <c r="K17" s="9" t="s">
        <v>923</v>
      </c>
      <c r="L17" s="9" t="s">
        <v>303</v>
      </c>
      <c r="M17" s="9" t="s">
        <v>806</v>
      </c>
      <c r="N17" s="9" t="s">
        <v>779</v>
      </c>
      <c r="O17" s="9" t="s">
        <v>302</v>
      </c>
      <c r="P17" s="9" t="s">
        <v>323</v>
      </c>
      <c r="Q17" s="21" t="s">
        <v>808</v>
      </c>
      <c r="R17" s="9" t="s">
        <v>324</v>
      </c>
      <c r="S17" s="9" t="s">
        <v>304</v>
      </c>
      <c r="T17" s="9">
        <v>2346</v>
      </c>
      <c r="AE17" s="19" t="s">
        <v>308</v>
      </c>
      <c r="AF17" s="9" t="s">
        <v>780</v>
      </c>
      <c r="AG17" s="9">
        <v>2</v>
      </c>
      <c r="AH17" s="9" t="s">
        <v>307</v>
      </c>
      <c r="AI17" s="9">
        <v>7</v>
      </c>
      <c r="AJ17" s="9">
        <v>100</v>
      </c>
      <c r="AK17" s="9">
        <v>50</v>
      </c>
      <c r="AL17" s="9" t="s">
        <v>909</v>
      </c>
      <c r="AM17" s="9" t="s">
        <v>910</v>
      </c>
      <c r="AR17" s="20" t="s">
        <v>2</v>
      </c>
      <c r="AS17" s="19" t="s">
        <v>630</v>
      </c>
      <c r="AT17" s="9" t="s">
        <v>782</v>
      </c>
      <c r="AU17" s="9">
        <v>2</v>
      </c>
      <c r="AV17" s="9" t="s">
        <v>310</v>
      </c>
      <c r="AW17" s="9">
        <v>7</v>
      </c>
      <c r="AX17" s="9">
        <v>100</v>
      </c>
      <c r="AY17" s="9">
        <v>50</v>
      </c>
      <c r="AZ17" s="9" t="s">
        <v>909</v>
      </c>
      <c r="BA17" s="9" t="s">
        <v>910</v>
      </c>
      <c r="BC17" s="9" t="s">
        <v>862</v>
      </c>
      <c r="BD17" s="9" t="s">
        <v>919</v>
      </c>
      <c r="BE17" s="9" t="s">
        <v>909</v>
      </c>
      <c r="BF17" s="20" t="s">
        <v>910</v>
      </c>
      <c r="BG17" s="19" t="s">
        <v>645</v>
      </c>
      <c r="BH17" s="9" t="s">
        <v>783</v>
      </c>
      <c r="BI17" s="9">
        <v>2</v>
      </c>
      <c r="BJ17" s="9" t="s">
        <v>784</v>
      </c>
      <c r="BK17" s="9">
        <v>7</v>
      </c>
      <c r="BL17" s="9">
        <v>100</v>
      </c>
      <c r="BM17" s="9">
        <v>50</v>
      </c>
      <c r="BN17" s="9" t="s">
        <v>909</v>
      </c>
      <c r="BO17" s="9" t="s">
        <v>910</v>
      </c>
      <c r="BP17" s="9" t="s">
        <v>918</v>
      </c>
      <c r="BT17" s="30"/>
      <c r="BU17" s="19" t="s">
        <v>633</v>
      </c>
      <c r="BV17" s="9" t="s">
        <v>795</v>
      </c>
      <c r="BW17" s="9">
        <v>2</v>
      </c>
      <c r="BX17" s="9" t="s">
        <v>632</v>
      </c>
      <c r="BY17" s="9">
        <v>7</v>
      </c>
      <c r="BZ17" s="9">
        <v>100</v>
      </c>
      <c r="CA17" s="9">
        <v>50</v>
      </c>
      <c r="CB17" s="9" t="s">
        <v>909</v>
      </c>
      <c r="CC17" s="9" t="s">
        <v>910</v>
      </c>
      <c r="CD17" s="9" t="s">
        <v>807</v>
      </c>
      <c r="CH17" s="30"/>
      <c r="CI17" s="9" t="s">
        <v>640</v>
      </c>
      <c r="CJ17" s="9" t="s">
        <v>641</v>
      </c>
      <c r="CK17" s="9" t="s">
        <v>642</v>
      </c>
      <c r="CL17" s="9" t="s">
        <v>852</v>
      </c>
      <c r="CM17" s="9" t="str">
        <f t="shared" si="0"/>
        <v>Product : Agg_2346MS_PRD-Agg_2346MS_CODE details added successfully.</v>
      </c>
      <c r="CN17" s="9" t="s">
        <v>581</v>
      </c>
    </row>
    <row r="18" spans="1:92" x14ac:dyDescent="0.25">
      <c r="A18" s="9" t="s">
        <v>821</v>
      </c>
      <c r="B18" s="3" t="s">
        <v>860</v>
      </c>
      <c r="C18" s="9" t="s">
        <v>391</v>
      </c>
      <c r="D18" s="9" t="s">
        <v>862</v>
      </c>
      <c r="E18" s="9"/>
      <c r="F18" s="9" t="s">
        <v>2</v>
      </c>
      <c r="G18" s="9" t="s">
        <v>849</v>
      </c>
      <c r="H18" s="9" t="s">
        <v>851</v>
      </c>
      <c r="I18" s="9" t="s">
        <v>823</v>
      </c>
      <c r="J18" s="9" t="s">
        <v>924</v>
      </c>
      <c r="K18" s="9" t="s">
        <v>923</v>
      </c>
      <c r="L18" s="9" t="s">
        <v>303</v>
      </c>
      <c r="M18" s="9" t="s">
        <v>806</v>
      </c>
      <c r="N18" s="9" t="s">
        <v>779</v>
      </c>
      <c r="O18" s="9" t="s">
        <v>302</v>
      </c>
      <c r="P18" s="9" t="s">
        <v>323</v>
      </c>
      <c r="Q18" s="21" t="s">
        <v>808</v>
      </c>
      <c r="R18" s="9" t="s">
        <v>324</v>
      </c>
      <c r="S18" s="9" t="s">
        <v>304</v>
      </c>
      <c r="T18" s="9">
        <v>1236</v>
      </c>
      <c r="U18" s="19" t="s">
        <v>305</v>
      </c>
      <c r="V18" s="9" t="s">
        <v>781</v>
      </c>
      <c r="W18" s="9">
        <v>1</v>
      </c>
      <c r="X18" s="9" t="s">
        <v>307</v>
      </c>
      <c r="Y18" s="9">
        <v>7</v>
      </c>
      <c r="Z18" s="9">
        <v>100</v>
      </c>
      <c r="AA18" s="9">
        <v>50</v>
      </c>
      <c r="AB18" s="9" t="s">
        <v>909</v>
      </c>
      <c r="AC18" s="9" t="s">
        <v>910</v>
      </c>
      <c r="AD18" s="20" t="s">
        <v>2</v>
      </c>
      <c r="AE18" s="19" t="s">
        <v>308</v>
      </c>
      <c r="AF18" s="9" t="s">
        <v>780</v>
      </c>
      <c r="AG18" s="9">
        <v>2</v>
      </c>
      <c r="AH18" s="9" t="s">
        <v>310</v>
      </c>
      <c r="AI18" s="9">
        <v>7</v>
      </c>
      <c r="AJ18" s="9">
        <v>100</v>
      </c>
      <c r="AK18" s="9">
        <v>50</v>
      </c>
      <c r="AL18" s="9" t="s">
        <v>909</v>
      </c>
      <c r="AM18" s="9" t="s">
        <v>910</v>
      </c>
      <c r="AS18" s="19" t="s">
        <v>630</v>
      </c>
      <c r="AT18" s="9" t="s">
        <v>782</v>
      </c>
      <c r="AU18" s="9">
        <v>2</v>
      </c>
      <c r="AV18" s="9" t="s">
        <v>646</v>
      </c>
      <c r="AW18" s="9">
        <v>7</v>
      </c>
      <c r="AX18" s="9">
        <v>100</v>
      </c>
      <c r="AY18" s="9">
        <v>50</v>
      </c>
      <c r="AZ18" s="9" t="s">
        <v>909</v>
      </c>
      <c r="BA18" s="9" t="s">
        <v>910</v>
      </c>
      <c r="BB18" s="9" t="s">
        <v>918</v>
      </c>
      <c r="BC18" s="9" t="s">
        <v>862</v>
      </c>
      <c r="BD18" s="9" t="s">
        <v>919</v>
      </c>
      <c r="BE18" s="9" t="s">
        <v>909</v>
      </c>
      <c r="BF18" s="30" t="s">
        <v>910</v>
      </c>
      <c r="BU18" s="19" t="s">
        <v>633</v>
      </c>
      <c r="BV18" s="9" t="s">
        <v>795</v>
      </c>
      <c r="BW18" s="9">
        <v>2</v>
      </c>
      <c r="BX18" s="9" t="s">
        <v>632</v>
      </c>
      <c r="BY18" s="9">
        <v>7</v>
      </c>
      <c r="BZ18" s="9">
        <v>100</v>
      </c>
      <c r="CA18" s="9">
        <v>50</v>
      </c>
      <c r="CB18" s="9" t="s">
        <v>909</v>
      </c>
      <c r="CC18" s="9" t="s">
        <v>910</v>
      </c>
      <c r="CD18" s="9" t="s">
        <v>807</v>
      </c>
      <c r="CH18" s="30"/>
      <c r="CI18" s="9" t="s">
        <v>640</v>
      </c>
      <c r="CJ18" s="9" t="s">
        <v>641</v>
      </c>
      <c r="CK18" s="9" t="s">
        <v>642</v>
      </c>
      <c r="CL18" s="9" t="s">
        <v>644</v>
      </c>
      <c r="CM18" s="9" t="str">
        <f t="shared" si="0"/>
        <v>Product : Agg_1236MS_PRD-Agg_1236MS_CODE details added successfully.</v>
      </c>
      <c r="CN18" s="9" t="s">
        <v>581</v>
      </c>
    </row>
    <row r="19" spans="1:92" x14ac:dyDescent="0.25">
      <c r="A19" s="9" t="s">
        <v>878</v>
      </c>
      <c r="B19" s="3" t="s">
        <v>881</v>
      </c>
      <c r="C19" s="9" t="s">
        <v>391</v>
      </c>
      <c r="D19" s="9" t="s">
        <v>904</v>
      </c>
      <c r="E19" s="9"/>
      <c r="F19" s="9" t="s">
        <v>2</v>
      </c>
      <c r="G19" s="9" t="s">
        <v>883</v>
      </c>
      <c r="H19" s="9" t="s">
        <v>885</v>
      </c>
      <c r="I19" s="9" t="s">
        <v>886</v>
      </c>
      <c r="J19" s="9" t="s">
        <v>924</v>
      </c>
      <c r="K19" s="9" t="s">
        <v>923</v>
      </c>
      <c r="L19" s="9" t="s">
        <v>888</v>
      </c>
      <c r="M19" s="9" t="s">
        <v>806</v>
      </c>
      <c r="N19" s="9" t="s">
        <v>779</v>
      </c>
      <c r="O19" s="9" t="s">
        <v>302</v>
      </c>
      <c r="P19" s="9" t="s">
        <v>323</v>
      </c>
      <c r="Q19" s="21" t="s">
        <v>808</v>
      </c>
      <c r="R19" s="9" t="s">
        <v>324</v>
      </c>
      <c r="S19" s="9" t="s">
        <v>304</v>
      </c>
      <c r="T19" s="9">
        <v>123</v>
      </c>
      <c r="U19" s="19" t="s">
        <v>305</v>
      </c>
      <c r="V19" s="9" t="s">
        <v>781</v>
      </c>
      <c r="W19" s="9">
        <v>1</v>
      </c>
      <c r="X19" s="9" t="s">
        <v>307</v>
      </c>
      <c r="Y19" s="9">
        <v>7</v>
      </c>
      <c r="Z19" s="9">
        <v>100</v>
      </c>
      <c r="AA19" s="9">
        <v>50</v>
      </c>
      <c r="AB19" s="9" t="s">
        <v>909</v>
      </c>
      <c r="AC19" s="9" t="s">
        <v>910</v>
      </c>
      <c r="AD19" s="20" t="s">
        <v>2</v>
      </c>
      <c r="AE19" s="19" t="s">
        <v>308</v>
      </c>
      <c r="AF19" s="9" t="s">
        <v>780</v>
      </c>
      <c r="AG19" s="9">
        <v>2</v>
      </c>
      <c r="AH19" s="9" t="s">
        <v>310</v>
      </c>
      <c r="AI19" s="9">
        <v>7</v>
      </c>
      <c r="AJ19" s="9">
        <v>100</v>
      </c>
      <c r="AK19" s="9">
        <v>50</v>
      </c>
      <c r="AL19" s="9" t="s">
        <v>909</v>
      </c>
      <c r="AM19" s="9" t="s">
        <v>910</v>
      </c>
      <c r="AP19" s="29"/>
      <c r="AS19" s="19" t="s">
        <v>630</v>
      </c>
      <c r="AT19" s="9" t="s">
        <v>782</v>
      </c>
      <c r="AU19" s="9">
        <v>2</v>
      </c>
      <c r="AV19" s="9" t="s">
        <v>646</v>
      </c>
      <c r="AW19" s="9">
        <v>7</v>
      </c>
      <c r="AX19" s="9">
        <v>100</v>
      </c>
      <c r="AY19" s="9">
        <v>50</v>
      </c>
      <c r="AZ19" s="9" t="s">
        <v>909</v>
      </c>
      <c r="BA19" s="9" t="s">
        <v>910</v>
      </c>
      <c r="BB19" s="9" t="s">
        <v>2</v>
      </c>
      <c r="CI19" s="9" t="s">
        <v>640</v>
      </c>
      <c r="CJ19" s="9" t="s">
        <v>641</v>
      </c>
      <c r="CK19" s="9" t="s">
        <v>642</v>
      </c>
      <c r="CL19" s="9" t="s">
        <v>644</v>
      </c>
      <c r="CM19" s="9" t="str">
        <f t="shared" ref="CM19" si="1">CONCATENATE("Product : ",G19,"-",H19," details added successfully.")</f>
        <v>Product : Nsr_123_PRD-Nsr_123_CODE details added successfully.</v>
      </c>
      <c r="CN19" s="9" t="s">
        <v>581</v>
      </c>
    </row>
    <row r="20" spans="1:92" x14ac:dyDescent="0.25">
      <c r="A20" s="9" t="s">
        <v>879</v>
      </c>
      <c r="B20" s="3" t="s">
        <v>880</v>
      </c>
      <c r="C20" s="9" t="s">
        <v>391</v>
      </c>
      <c r="E20" s="9"/>
      <c r="F20" s="9" t="s">
        <v>2</v>
      </c>
      <c r="G20" s="9" t="s">
        <v>882</v>
      </c>
      <c r="H20" s="9" t="s">
        <v>884</v>
      </c>
      <c r="I20" s="9" t="s">
        <v>887</v>
      </c>
      <c r="J20" s="9" t="s">
        <v>924</v>
      </c>
      <c r="K20" s="9" t="s">
        <v>923</v>
      </c>
      <c r="L20" s="9" t="s">
        <v>888</v>
      </c>
      <c r="M20" s="9" t="s">
        <v>806</v>
      </c>
      <c r="N20" s="9" t="s">
        <v>779</v>
      </c>
      <c r="O20" s="9" t="s">
        <v>302</v>
      </c>
      <c r="P20" s="9" t="s">
        <v>323</v>
      </c>
      <c r="Q20" s="21" t="s">
        <v>808</v>
      </c>
      <c r="R20" s="9" t="s">
        <v>324</v>
      </c>
      <c r="S20" s="9" t="s">
        <v>304</v>
      </c>
      <c r="T20" s="9">
        <v>234</v>
      </c>
      <c r="AE20" s="19" t="s">
        <v>308</v>
      </c>
      <c r="AF20" s="9" t="s">
        <v>780</v>
      </c>
      <c r="AG20" s="9">
        <v>2</v>
      </c>
      <c r="AH20" s="9" t="s">
        <v>310</v>
      </c>
      <c r="AI20" s="9">
        <v>7</v>
      </c>
      <c r="AJ20" s="9">
        <v>100</v>
      </c>
      <c r="AK20" s="9">
        <v>50</v>
      </c>
      <c r="AL20" s="9" t="s">
        <v>909</v>
      </c>
      <c r="AM20" s="9" t="s">
        <v>910</v>
      </c>
      <c r="AR20" s="20" t="s">
        <v>2</v>
      </c>
      <c r="AS20" s="19" t="s">
        <v>630</v>
      </c>
      <c r="AT20" s="9" t="s">
        <v>782</v>
      </c>
      <c r="AU20" s="9">
        <v>2</v>
      </c>
      <c r="AV20" s="9" t="s">
        <v>646</v>
      </c>
      <c r="AW20" s="9">
        <v>7</v>
      </c>
      <c r="AX20" s="9">
        <v>100</v>
      </c>
      <c r="AY20" s="9">
        <v>50</v>
      </c>
      <c r="AZ20" s="9" t="s">
        <v>909</v>
      </c>
      <c r="BA20" s="9" t="s">
        <v>910</v>
      </c>
      <c r="BB20" s="9" t="s">
        <v>918</v>
      </c>
      <c r="BC20" s="9" t="s">
        <v>862</v>
      </c>
      <c r="BD20" s="9" t="s">
        <v>919</v>
      </c>
      <c r="BE20" s="9" t="s">
        <v>909</v>
      </c>
      <c r="BF20" s="30" t="s">
        <v>910</v>
      </c>
      <c r="BG20" s="19" t="s">
        <v>645</v>
      </c>
      <c r="BH20" s="9" t="s">
        <v>783</v>
      </c>
      <c r="BI20" s="9">
        <v>2</v>
      </c>
      <c r="BJ20" s="9" t="s">
        <v>784</v>
      </c>
      <c r="BK20" s="9">
        <v>7</v>
      </c>
      <c r="BL20" s="9">
        <v>100</v>
      </c>
      <c r="BM20" s="9">
        <v>50</v>
      </c>
      <c r="BN20" s="9" t="s">
        <v>909</v>
      </c>
      <c r="BO20" s="9" t="s">
        <v>910</v>
      </c>
      <c r="BT20" s="30"/>
      <c r="CI20" s="9" t="s">
        <v>640</v>
      </c>
      <c r="CJ20" s="9" t="s">
        <v>641</v>
      </c>
      <c r="CK20" s="9" t="s">
        <v>642</v>
      </c>
      <c r="CL20" s="9" t="s">
        <v>852</v>
      </c>
      <c r="CM20" s="9" t="str">
        <f>CONCATENATE("Product : ",G20,"-",H20," details added successfully.")</f>
        <v>Product : Nsr_234_PRD-Nsr_234_CODE details added successfully.</v>
      </c>
      <c r="CN20" s="9" t="s">
        <v>581</v>
      </c>
    </row>
    <row r="21" spans="1:92" x14ac:dyDescent="0.25">
      <c r="A21" s="9" t="s">
        <v>889</v>
      </c>
      <c r="B21" s="3" t="s">
        <v>928</v>
      </c>
      <c r="C21" s="9" t="s">
        <v>391</v>
      </c>
      <c r="D21" s="9" t="s">
        <v>862</v>
      </c>
      <c r="E21" s="9" t="s">
        <v>849</v>
      </c>
      <c r="F21" s="9" t="s">
        <v>851</v>
      </c>
      <c r="G21" s="9" t="s">
        <v>929</v>
      </c>
      <c r="H21" s="9" t="s">
        <v>930</v>
      </c>
      <c r="I21" s="9" t="s">
        <v>931</v>
      </c>
      <c r="Q21" s="21"/>
      <c r="BF21" s="30"/>
      <c r="BT21" s="30"/>
      <c r="CM21" s="9" t="str">
        <f t="shared" ref="CM21" si="2">CONCATENATE("Product : ",G21,"-",H21," details added successfully.")</f>
        <v>Product : Copy_1236MS_PRD-Copy_1236MS_CODE details added successfully.</v>
      </c>
      <c r="CN21" s="9" t="s">
        <v>581</v>
      </c>
    </row>
    <row r="22" spans="1:92" s="25" customFormat="1" x14ac:dyDescent="0.25">
      <c r="A22" s="25" t="s">
        <v>895</v>
      </c>
      <c r="B22" s="26" t="s">
        <v>900</v>
      </c>
      <c r="C22" s="26"/>
      <c r="E22" s="25" t="s">
        <v>929</v>
      </c>
      <c r="F22" s="25" t="s">
        <v>930</v>
      </c>
      <c r="U22" s="27"/>
      <c r="AD22" s="28"/>
      <c r="AE22" s="27"/>
      <c r="AR22" s="28"/>
      <c r="AS22" s="27"/>
      <c r="BF22" s="28"/>
      <c r="BG22" s="27"/>
      <c r="BT22" s="28"/>
      <c r="BU22" s="27"/>
      <c r="CH22" s="28"/>
      <c r="CM22" s="25" t="str">
        <f>CONCATENATE(E22,"-",F22," has deactivated successfully")</f>
        <v>Copy_1236MS_PRD-Copy_1236MS_CODE has deactivated successfully</v>
      </c>
      <c r="CN22" s="25" t="s">
        <v>581</v>
      </c>
    </row>
    <row r="23" spans="1:92" s="25" customFormat="1" x14ac:dyDescent="0.25">
      <c r="A23" s="25" t="s">
        <v>898</v>
      </c>
      <c r="B23" s="26" t="s">
        <v>901</v>
      </c>
      <c r="C23" s="26"/>
      <c r="E23" s="25" t="s">
        <v>929</v>
      </c>
      <c r="F23" s="25" t="s">
        <v>930</v>
      </c>
      <c r="U23" s="27"/>
      <c r="AD23" s="28"/>
      <c r="AE23" s="27"/>
      <c r="AR23" s="28"/>
      <c r="AS23" s="27"/>
      <c r="BF23" s="28"/>
      <c r="BG23" s="27"/>
      <c r="BT23" s="28"/>
      <c r="BU23" s="27"/>
      <c r="CH23" s="28"/>
      <c r="CM23" s="25" t="str">
        <f>CONCATENATE(E23,"-",F23," has activated successfully")</f>
        <v>Copy_1236MS_PRD-Copy_1236MS_CODE has activated successfully</v>
      </c>
      <c r="CN23" s="25" t="s">
        <v>581</v>
      </c>
    </row>
    <row r="24" spans="1:92" s="31" customFormat="1" x14ac:dyDescent="0.25">
      <c r="A24" s="31" t="s">
        <v>899</v>
      </c>
      <c r="B24" s="32" t="s">
        <v>937</v>
      </c>
      <c r="C24" s="31" t="s">
        <v>391</v>
      </c>
      <c r="D24" s="31" t="s">
        <v>862</v>
      </c>
      <c r="E24" s="31" t="s">
        <v>929</v>
      </c>
      <c r="F24" s="31" t="s">
        <v>930</v>
      </c>
      <c r="G24" s="31" t="s">
        <v>932</v>
      </c>
      <c r="H24" s="31" t="s">
        <v>933</v>
      </c>
      <c r="I24" s="31" t="s">
        <v>934</v>
      </c>
      <c r="J24" s="31" t="s">
        <v>924</v>
      </c>
      <c r="K24" s="31" t="s">
        <v>923</v>
      </c>
      <c r="L24" s="31" t="s">
        <v>303</v>
      </c>
      <c r="M24" s="31" t="s">
        <v>935</v>
      </c>
      <c r="N24" s="31" t="s">
        <v>925</v>
      </c>
      <c r="O24" s="31" t="s">
        <v>302</v>
      </c>
      <c r="P24" s="31" t="s">
        <v>891</v>
      </c>
      <c r="Q24" s="33" t="s">
        <v>936</v>
      </c>
      <c r="R24" s="31" t="s">
        <v>896</v>
      </c>
      <c r="S24" s="31" t="s">
        <v>304</v>
      </c>
      <c r="T24" s="31">
        <v>2346</v>
      </c>
      <c r="U24" s="34"/>
      <c r="AD24" s="35"/>
      <c r="AE24" s="34" t="s">
        <v>308</v>
      </c>
      <c r="AF24" s="31" t="s">
        <v>780</v>
      </c>
      <c r="AG24" s="31">
        <v>1</v>
      </c>
      <c r="AH24" s="31" t="s">
        <v>307</v>
      </c>
      <c r="AI24" s="31">
        <v>8</v>
      </c>
      <c r="AJ24" s="31">
        <v>10</v>
      </c>
      <c r="AK24" s="31">
        <v>5</v>
      </c>
      <c r="AL24" s="31" t="s">
        <v>911</v>
      </c>
      <c r="AM24" s="31" t="s">
        <v>912</v>
      </c>
      <c r="AR24" s="35"/>
      <c r="AS24" s="34" t="s">
        <v>630</v>
      </c>
      <c r="AT24" s="31" t="s">
        <v>782</v>
      </c>
      <c r="AU24" s="31">
        <v>4</v>
      </c>
      <c r="AV24" s="31" t="s">
        <v>310</v>
      </c>
      <c r="AW24" s="31">
        <v>8</v>
      </c>
      <c r="AX24" s="31">
        <v>10</v>
      </c>
      <c r="AY24" s="31">
        <v>5</v>
      </c>
      <c r="AZ24" s="31" t="s">
        <v>911</v>
      </c>
      <c r="BA24" s="31" t="s">
        <v>912</v>
      </c>
      <c r="BC24" s="31" t="s">
        <v>862</v>
      </c>
      <c r="BD24" s="31" t="s">
        <v>919</v>
      </c>
      <c r="BE24" s="31" t="s">
        <v>913</v>
      </c>
      <c r="BF24" s="31" t="s">
        <v>914</v>
      </c>
      <c r="BG24" s="34" t="s">
        <v>645</v>
      </c>
      <c r="BH24" s="31" t="s">
        <v>783</v>
      </c>
      <c r="BI24" s="31">
        <v>4</v>
      </c>
      <c r="BJ24" s="31" t="s">
        <v>897</v>
      </c>
      <c r="BK24" s="31">
        <v>8</v>
      </c>
      <c r="BL24" s="31">
        <v>100</v>
      </c>
      <c r="BM24" s="31">
        <v>50</v>
      </c>
      <c r="BN24" s="31" t="s">
        <v>911</v>
      </c>
      <c r="BO24" s="31" t="s">
        <v>912</v>
      </c>
      <c r="BT24" s="35"/>
      <c r="BU24" s="34" t="s">
        <v>633</v>
      </c>
      <c r="BV24" s="31" t="s">
        <v>795</v>
      </c>
      <c r="BW24" s="31">
        <v>2</v>
      </c>
      <c r="BX24" s="31" t="s">
        <v>632</v>
      </c>
      <c r="CB24" s="31" t="s">
        <v>911</v>
      </c>
      <c r="CC24" s="31" t="s">
        <v>912</v>
      </c>
      <c r="CD24" s="31" t="s">
        <v>918</v>
      </c>
      <c r="CH24" s="36"/>
      <c r="CI24" s="31" t="s">
        <v>892</v>
      </c>
      <c r="CJ24" s="31" t="s">
        <v>893</v>
      </c>
      <c r="CK24" s="31" t="s">
        <v>894</v>
      </c>
      <c r="CL24" s="31" t="s">
        <v>852</v>
      </c>
      <c r="CM24" s="31" t="str">
        <f>CONCATENATE("Product : ",G24,"-",H24," details updated successfully.")</f>
        <v>Product : Copy_Upd_2346_PRD-Copy_Upd_2346_CODE details updated successfully.</v>
      </c>
      <c r="CN24" s="31" t="s">
        <v>581</v>
      </c>
    </row>
    <row r="25" spans="1:92" s="31" customFormat="1" x14ac:dyDescent="0.25">
      <c r="A25" s="31" t="s">
        <v>903</v>
      </c>
      <c r="B25" s="32" t="s">
        <v>926</v>
      </c>
      <c r="C25" s="31" t="s">
        <v>391</v>
      </c>
      <c r="D25" s="31" t="s">
        <v>862</v>
      </c>
      <c r="E25" s="31" t="s">
        <v>932</v>
      </c>
      <c r="F25" s="31" t="s">
        <v>933</v>
      </c>
      <c r="G25" s="31" t="s">
        <v>938</v>
      </c>
      <c r="H25" s="31" t="s">
        <v>939</v>
      </c>
      <c r="I25" s="31" t="s">
        <v>940</v>
      </c>
      <c r="J25" s="31" t="s">
        <v>924</v>
      </c>
      <c r="K25" s="31" t="s">
        <v>923</v>
      </c>
      <c r="L25" s="31" t="s">
        <v>303</v>
      </c>
      <c r="M25" s="31" t="s">
        <v>935</v>
      </c>
      <c r="N25" s="31" t="s">
        <v>925</v>
      </c>
      <c r="O25" s="31" t="s">
        <v>302</v>
      </c>
      <c r="P25" s="31" t="s">
        <v>891</v>
      </c>
      <c r="Q25" s="33" t="s">
        <v>936</v>
      </c>
      <c r="R25" s="31" t="s">
        <v>896</v>
      </c>
      <c r="S25" s="31" t="s">
        <v>304</v>
      </c>
      <c r="T25" s="31">
        <v>234</v>
      </c>
      <c r="U25" s="34"/>
      <c r="AD25" s="35"/>
      <c r="AE25" s="34" t="s">
        <v>308</v>
      </c>
      <c r="AF25" s="31" t="s">
        <v>780</v>
      </c>
      <c r="AG25" s="31">
        <v>1</v>
      </c>
      <c r="AH25" s="31" t="s">
        <v>307</v>
      </c>
      <c r="AI25" s="31">
        <v>8</v>
      </c>
      <c r="AJ25" s="31">
        <v>10</v>
      </c>
      <c r="AK25" s="31">
        <v>5</v>
      </c>
      <c r="AL25" s="31" t="s">
        <v>911</v>
      </c>
      <c r="AM25" s="31" t="s">
        <v>912</v>
      </c>
      <c r="AR25" s="35"/>
      <c r="AS25" s="34" t="s">
        <v>630</v>
      </c>
      <c r="AT25" s="31" t="s">
        <v>782</v>
      </c>
      <c r="AU25" s="31">
        <v>4</v>
      </c>
      <c r="AV25" s="31" t="s">
        <v>310</v>
      </c>
      <c r="AW25" s="31">
        <v>8</v>
      </c>
      <c r="AX25" s="31">
        <v>10</v>
      </c>
      <c r="AY25" s="31">
        <v>5</v>
      </c>
      <c r="AZ25" s="31" t="s">
        <v>911</v>
      </c>
      <c r="BA25" s="31" t="s">
        <v>912</v>
      </c>
      <c r="BC25" s="31" t="s">
        <v>862</v>
      </c>
      <c r="BD25" s="31" t="s">
        <v>919</v>
      </c>
      <c r="BE25" s="31" t="s">
        <v>913</v>
      </c>
      <c r="BF25" s="31" t="s">
        <v>914</v>
      </c>
      <c r="BG25" s="34" t="s">
        <v>645</v>
      </c>
      <c r="BH25" s="31" t="s">
        <v>783</v>
      </c>
      <c r="BI25" s="31">
        <v>4</v>
      </c>
      <c r="BJ25" s="31" t="s">
        <v>897</v>
      </c>
      <c r="BK25" s="31">
        <v>8</v>
      </c>
      <c r="BL25" s="31">
        <v>100</v>
      </c>
      <c r="BM25" s="31">
        <v>50</v>
      </c>
      <c r="BN25" s="31" t="s">
        <v>911</v>
      </c>
      <c r="BO25" s="31" t="s">
        <v>912</v>
      </c>
      <c r="BP25" s="31" t="s">
        <v>918</v>
      </c>
      <c r="BT25" s="35"/>
      <c r="BU25" s="34"/>
      <c r="CH25" s="36"/>
      <c r="CI25" s="31" t="s">
        <v>640</v>
      </c>
      <c r="CJ25" s="31" t="s">
        <v>941</v>
      </c>
      <c r="CK25" s="31" t="s">
        <v>641</v>
      </c>
      <c r="CL25" s="31" t="s">
        <v>852</v>
      </c>
      <c r="CM25" s="31" t="str">
        <f>CONCATENATE("Product : ",G25,"-",H25," details updated successfully.")</f>
        <v>Product : Copy_Upd_234_PRD-Copy_Upd_234_CODE details updated successfully.</v>
      </c>
      <c r="CN25" s="31" t="s">
        <v>581</v>
      </c>
    </row>
    <row r="26" spans="1:92" s="31" customFormat="1" x14ac:dyDescent="0.25">
      <c r="A26" s="31" t="s">
        <v>927</v>
      </c>
      <c r="B26" s="32" t="s">
        <v>902</v>
      </c>
      <c r="C26" s="31" t="s">
        <v>391</v>
      </c>
      <c r="D26" s="31" t="s">
        <v>862</v>
      </c>
      <c r="E26" s="31" t="s">
        <v>938</v>
      </c>
      <c r="F26" s="31" t="s">
        <v>939</v>
      </c>
      <c r="G26" s="31" t="s">
        <v>945</v>
      </c>
      <c r="H26" s="31" t="s">
        <v>942</v>
      </c>
      <c r="I26" s="31" t="s">
        <v>943</v>
      </c>
      <c r="J26" s="31" t="s">
        <v>924</v>
      </c>
      <c r="K26" s="31" t="s">
        <v>923</v>
      </c>
      <c r="L26" s="31" t="s">
        <v>303</v>
      </c>
      <c r="M26" s="31" t="s">
        <v>944</v>
      </c>
      <c r="N26" s="31" t="s">
        <v>925</v>
      </c>
      <c r="O26" s="31" t="s">
        <v>302</v>
      </c>
      <c r="P26" s="31" t="s">
        <v>891</v>
      </c>
      <c r="Q26" s="33" t="s">
        <v>936</v>
      </c>
      <c r="R26" s="31" t="s">
        <v>896</v>
      </c>
      <c r="S26" s="31" t="s">
        <v>304</v>
      </c>
      <c r="T26" s="31">
        <v>1234</v>
      </c>
      <c r="U26" s="34" t="s">
        <v>305</v>
      </c>
      <c r="V26" s="31" t="s">
        <v>781</v>
      </c>
      <c r="W26" s="31">
        <v>1</v>
      </c>
      <c r="X26" s="31" t="s">
        <v>307</v>
      </c>
      <c r="Y26" s="31">
        <v>7</v>
      </c>
      <c r="Z26" s="31">
        <v>10</v>
      </c>
      <c r="AA26" s="31">
        <v>5</v>
      </c>
      <c r="AB26" s="31" t="s">
        <v>911</v>
      </c>
      <c r="AC26" s="31" t="s">
        <v>912</v>
      </c>
      <c r="AD26" s="35" t="s">
        <v>2</v>
      </c>
      <c r="AE26" s="34" t="s">
        <v>308</v>
      </c>
      <c r="AF26" s="31" t="s">
        <v>780</v>
      </c>
      <c r="AG26" s="31">
        <v>4</v>
      </c>
      <c r="AH26" s="31" t="s">
        <v>310</v>
      </c>
      <c r="AI26" s="31">
        <v>7</v>
      </c>
      <c r="AJ26" s="31">
        <v>10</v>
      </c>
      <c r="AK26" s="31">
        <v>5</v>
      </c>
      <c r="AL26" s="31" t="s">
        <v>911</v>
      </c>
      <c r="AM26" s="31" t="s">
        <v>912</v>
      </c>
      <c r="AO26" s="31" t="s">
        <v>862</v>
      </c>
      <c r="AP26" s="31" t="s">
        <v>919</v>
      </c>
      <c r="AQ26" s="31" t="s">
        <v>913</v>
      </c>
      <c r="AR26" s="35" t="s">
        <v>914</v>
      </c>
      <c r="AS26" s="34" t="s">
        <v>630</v>
      </c>
      <c r="AT26" s="31" t="s">
        <v>782</v>
      </c>
      <c r="AU26" s="31">
        <v>2</v>
      </c>
      <c r="AV26" s="31" t="s">
        <v>646</v>
      </c>
      <c r="AW26" s="31">
        <v>7</v>
      </c>
      <c r="AX26" s="31">
        <v>10</v>
      </c>
      <c r="AY26" s="31">
        <v>5</v>
      </c>
      <c r="AZ26" s="31" t="s">
        <v>911</v>
      </c>
      <c r="BA26" s="31" t="s">
        <v>912</v>
      </c>
      <c r="BC26" s="31" t="s">
        <v>904</v>
      </c>
      <c r="BD26" s="31" t="s">
        <v>919</v>
      </c>
      <c r="BE26" s="31" t="s">
        <v>913</v>
      </c>
      <c r="BF26" s="31" t="s">
        <v>914</v>
      </c>
      <c r="BG26" s="34" t="s">
        <v>645</v>
      </c>
      <c r="BH26" s="31" t="s">
        <v>783</v>
      </c>
      <c r="BI26" s="31">
        <v>4</v>
      </c>
      <c r="BJ26" s="31" t="s">
        <v>897</v>
      </c>
      <c r="BK26" s="31">
        <v>7</v>
      </c>
      <c r="BL26" s="31">
        <v>10</v>
      </c>
      <c r="BM26" s="31">
        <v>5</v>
      </c>
      <c r="BN26" s="31" t="s">
        <v>911</v>
      </c>
      <c r="BO26" s="31" t="s">
        <v>912</v>
      </c>
      <c r="BT26" s="35"/>
      <c r="BU26" s="34"/>
      <c r="CH26" s="36"/>
      <c r="CI26" s="31" t="s">
        <v>640</v>
      </c>
      <c r="CJ26" s="31" t="s">
        <v>941</v>
      </c>
      <c r="CK26" s="31" t="s">
        <v>641</v>
      </c>
      <c r="CL26" s="31" t="s">
        <v>644</v>
      </c>
      <c r="CM26" s="31" t="str">
        <f>CONCATENATE("Product : ",G26,"-",H26," details updated successfully.")</f>
        <v>Product : Agg_1234_PRD-Agg_1234_CODE details updated successfully.</v>
      </c>
      <c r="CN26" s="31" t="s">
        <v>581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5C430-B8AF-48C1-9F63-70177A6803FC}">
  <dimension ref="A1:K34"/>
  <sheetViews>
    <sheetView tabSelected="1" workbookViewId="0">
      <selection activeCell="B11" sqref="B11"/>
    </sheetView>
  </sheetViews>
  <sheetFormatPr defaultRowHeight="15" x14ac:dyDescent="0.25"/>
  <cols>
    <col min="1" max="1" width="16" bestFit="1" customWidth="1"/>
    <col min="2" max="2" width="48.140625" bestFit="1" customWidth="1"/>
    <col min="3" max="3" width="18.85546875" style="8" bestFit="1" customWidth="1"/>
    <col min="4" max="4" width="11.28515625" style="8" bestFit="1" customWidth="1"/>
    <col min="5" max="5" width="13.7109375" style="8" bestFit="1" customWidth="1"/>
    <col min="6" max="7" width="10.42578125" style="8" bestFit="1" customWidth="1"/>
    <col min="8" max="8" width="9.85546875" style="8" bestFit="1" customWidth="1"/>
    <col min="9" max="9" width="38.7109375" style="8" bestFit="1" customWidth="1"/>
    <col min="10" max="10" width="9.7109375" style="8" bestFit="1" customWidth="1"/>
    <col min="11" max="11" width="42.85546875" style="8" bestFit="1" customWidth="1"/>
  </cols>
  <sheetData>
    <row r="1" spans="1:11" s="5" customFormat="1" x14ac:dyDescent="0.25">
      <c r="A1" s="5" t="s">
        <v>60</v>
      </c>
      <c r="B1" s="5" t="s">
        <v>71</v>
      </c>
      <c r="C1" s="5" t="s">
        <v>318</v>
      </c>
      <c r="D1" s="5" t="s">
        <v>315</v>
      </c>
      <c r="E1" s="5" t="s">
        <v>316</v>
      </c>
      <c r="F1" s="5" t="s">
        <v>770</v>
      </c>
      <c r="G1" s="5" t="s">
        <v>771</v>
      </c>
      <c r="H1" s="5" t="s">
        <v>317</v>
      </c>
      <c r="I1" s="5" t="s">
        <v>361</v>
      </c>
      <c r="J1" s="5" t="s">
        <v>423</v>
      </c>
      <c r="K1" s="5" t="s">
        <v>66</v>
      </c>
    </row>
    <row r="2" spans="1:11" x14ac:dyDescent="0.25">
      <c r="A2" t="s">
        <v>320</v>
      </c>
      <c r="B2" s="4" t="s">
        <v>775</v>
      </c>
      <c r="C2" s="8" t="s">
        <v>2</v>
      </c>
      <c r="D2" s="8" t="s">
        <v>2</v>
      </c>
      <c r="E2" s="8" t="s">
        <v>2</v>
      </c>
      <c r="H2" s="8" t="s">
        <v>2</v>
      </c>
      <c r="I2"/>
      <c r="J2" s="8" t="s">
        <v>2</v>
      </c>
      <c r="K2" s="8" t="s">
        <v>772</v>
      </c>
    </row>
    <row r="3" spans="1:11" x14ac:dyDescent="0.25">
      <c r="A3" t="s">
        <v>321</v>
      </c>
      <c r="B3" t="s">
        <v>776</v>
      </c>
      <c r="C3" s="8" t="s">
        <v>2</v>
      </c>
      <c r="D3" s="8" t="s">
        <v>948</v>
      </c>
      <c r="E3" s="8" t="s">
        <v>949</v>
      </c>
      <c r="F3" s="18" t="s">
        <v>773</v>
      </c>
      <c r="G3" s="18" t="s">
        <v>950</v>
      </c>
      <c r="H3" s="17">
        <v>100</v>
      </c>
      <c r="I3" s="9" t="s">
        <v>951</v>
      </c>
      <c r="J3" s="8" t="s">
        <v>653</v>
      </c>
      <c r="K3" s="8" t="str">
        <f t="shared" ref="K3" si="0">CONCATENATE(D3," with batch ",E3, " added successfully.")</f>
        <v>TestPO1 with batch TestBA1 added successfully.</v>
      </c>
    </row>
    <row r="4" spans="1:11" x14ac:dyDescent="0.25">
      <c r="A4" t="s">
        <v>322</v>
      </c>
      <c r="B4" t="s">
        <v>777</v>
      </c>
      <c r="C4" s="8" t="str">
        <f>D3</f>
        <v>TestPO1</v>
      </c>
      <c r="D4" s="8" t="s">
        <v>952</v>
      </c>
      <c r="E4" s="8" t="s">
        <v>953</v>
      </c>
      <c r="F4" s="18" t="s">
        <v>954</v>
      </c>
      <c r="G4" s="18" t="s">
        <v>774</v>
      </c>
      <c r="H4" s="17">
        <v>200</v>
      </c>
      <c r="I4" s="9" t="s">
        <v>955</v>
      </c>
      <c r="J4" s="8" t="s">
        <v>148</v>
      </c>
      <c r="K4" s="8" t="str">
        <f>CONCATENATE(D4," with batch ",E4, " updated successfully")</f>
        <v>234PO1 with batch 234BA1 updated successfully</v>
      </c>
    </row>
    <row r="5" spans="1:11" x14ac:dyDescent="0.25">
      <c r="F5" s="18"/>
      <c r="G5" s="18"/>
      <c r="H5" s="17"/>
      <c r="I5" s="9"/>
    </row>
    <row r="6" spans="1:11" x14ac:dyDescent="0.25">
      <c r="I6" s="9"/>
    </row>
    <row r="7" spans="1:11" x14ac:dyDescent="0.25">
      <c r="F7" s="18"/>
      <c r="G7" s="18"/>
      <c r="H7" s="17"/>
      <c r="I7" s="9"/>
    </row>
    <row r="8" spans="1:11" x14ac:dyDescent="0.25">
      <c r="B8" s="1"/>
    </row>
    <row r="12" spans="1:11" x14ac:dyDescent="0.25">
      <c r="B12" s="1"/>
      <c r="I12" s="9"/>
    </row>
    <row r="13" spans="1:11" x14ac:dyDescent="0.25">
      <c r="I13" s="9"/>
    </row>
    <row r="14" spans="1:11" x14ac:dyDescent="0.25">
      <c r="I14" s="9"/>
    </row>
    <row r="15" spans="1:11" x14ac:dyDescent="0.25">
      <c r="I15" s="9"/>
    </row>
    <row r="16" spans="1:11" x14ac:dyDescent="0.25">
      <c r="I16" s="9"/>
    </row>
    <row r="17" spans="9:9" x14ac:dyDescent="0.25">
      <c r="I17" s="9"/>
    </row>
    <row r="18" spans="9:9" x14ac:dyDescent="0.25">
      <c r="I18" s="9"/>
    </row>
    <row r="19" spans="9:9" x14ac:dyDescent="0.25">
      <c r="I19" s="9"/>
    </row>
    <row r="20" spans="9:9" x14ac:dyDescent="0.25">
      <c r="I20" s="9"/>
    </row>
    <row r="21" spans="9:9" x14ac:dyDescent="0.25">
      <c r="I21" s="9"/>
    </row>
    <row r="26" spans="9:9" x14ac:dyDescent="0.25">
      <c r="I26" s="9"/>
    </row>
    <row r="27" spans="9:9" x14ac:dyDescent="0.25">
      <c r="I27" s="9"/>
    </row>
    <row r="28" spans="9:9" x14ac:dyDescent="0.25">
      <c r="I28" s="9"/>
    </row>
    <row r="29" spans="9:9" x14ac:dyDescent="0.25">
      <c r="I29" s="9"/>
    </row>
    <row r="30" spans="9:9" x14ac:dyDescent="0.25">
      <c r="I30" s="9"/>
    </row>
    <row r="31" spans="9:9" x14ac:dyDescent="0.25">
      <c r="I31" s="9"/>
    </row>
    <row r="32" spans="9:9" x14ac:dyDescent="0.25">
      <c r="I32" s="9"/>
    </row>
    <row r="33" spans="9:9" x14ac:dyDescent="0.25">
      <c r="I33" s="9"/>
    </row>
    <row r="34" spans="9:9" x14ac:dyDescent="0.25">
      <c r="I34" s="9"/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47F96-EA31-4782-A57B-C3F9BD23C81A}">
  <dimension ref="A1:J10"/>
  <sheetViews>
    <sheetView workbookViewId="0">
      <selection activeCell="B4" sqref="B4"/>
    </sheetView>
  </sheetViews>
  <sheetFormatPr defaultRowHeight="15" x14ac:dyDescent="0.25"/>
  <cols>
    <col min="1" max="1" width="10.140625" bestFit="1" customWidth="1"/>
    <col min="2" max="2" width="63.42578125" bestFit="1" customWidth="1"/>
    <col min="3" max="3" width="15" bestFit="1" customWidth="1"/>
    <col min="4" max="4" width="8.7109375" bestFit="1" customWidth="1"/>
    <col min="5" max="5" width="34.7109375" bestFit="1" customWidth="1"/>
    <col min="6" max="6" width="6.140625" bestFit="1" customWidth="1"/>
    <col min="7" max="7" width="13.28515625" bestFit="1" customWidth="1"/>
    <col min="8" max="8" width="15" bestFit="1" customWidth="1"/>
    <col min="9" max="9" width="14.7109375" bestFit="1" customWidth="1"/>
    <col min="10" max="10" width="31.42578125" bestFit="1" customWidth="1"/>
  </cols>
  <sheetData>
    <row r="1" spans="1:10" x14ac:dyDescent="0.25">
      <c r="A1" s="5" t="s">
        <v>60</v>
      </c>
      <c r="B1" s="5" t="s">
        <v>513</v>
      </c>
      <c r="C1" s="5" t="s">
        <v>514</v>
      </c>
      <c r="D1" s="5" t="s">
        <v>423</v>
      </c>
      <c r="E1" s="5" t="s">
        <v>515</v>
      </c>
      <c r="F1" s="5" t="s">
        <v>516</v>
      </c>
      <c r="G1" s="5" t="s">
        <v>590</v>
      </c>
      <c r="H1" s="5" t="s">
        <v>517</v>
      </c>
      <c r="I1" s="5" t="s">
        <v>518</v>
      </c>
      <c r="J1" s="5" t="s">
        <v>66</v>
      </c>
    </row>
    <row r="2" spans="1:10" x14ac:dyDescent="0.25">
      <c r="A2" s="4" t="s">
        <v>591</v>
      </c>
      <c r="B2" s="4" t="s">
        <v>766</v>
      </c>
      <c r="C2" s="1" t="s">
        <v>9</v>
      </c>
      <c r="J2" t="s">
        <v>417</v>
      </c>
    </row>
    <row r="3" spans="1:10" x14ac:dyDescent="0.25">
      <c r="A3" s="4" t="s">
        <v>592</v>
      </c>
      <c r="B3" t="s">
        <v>523</v>
      </c>
      <c r="C3" t="s">
        <v>9</v>
      </c>
      <c r="D3" t="s">
        <v>332</v>
      </c>
      <c r="E3" t="s">
        <v>765</v>
      </c>
      <c r="F3" t="s">
        <v>633</v>
      </c>
      <c r="G3" t="s">
        <v>519</v>
      </c>
      <c r="H3" t="s">
        <v>520</v>
      </c>
      <c r="I3" t="s">
        <v>521</v>
      </c>
      <c r="J3" t="s">
        <v>593</v>
      </c>
    </row>
    <row r="4" spans="1:10" x14ac:dyDescent="0.25">
      <c r="A4" s="4" t="s">
        <v>594</v>
      </c>
      <c r="B4" t="s">
        <v>524</v>
      </c>
      <c r="C4" t="s">
        <v>9</v>
      </c>
      <c r="D4" t="s">
        <v>332</v>
      </c>
      <c r="E4" t="s">
        <v>765</v>
      </c>
      <c r="F4" t="s">
        <v>633</v>
      </c>
      <c r="G4" t="s">
        <v>519</v>
      </c>
      <c r="H4" t="s">
        <v>520</v>
      </c>
      <c r="I4" t="s">
        <v>521</v>
      </c>
      <c r="J4" t="s">
        <v>522</v>
      </c>
    </row>
    <row r="5" spans="1:10" x14ac:dyDescent="0.25">
      <c r="A5" s="4" t="s">
        <v>595</v>
      </c>
      <c r="B5" t="s">
        <v>596</v>
      </c>
      <c r="C5" t="s">
        <v>9</v>
      </c>
      <c r="D5" t="s">
        <v>332</v>
      </c>
      <c r="E5" t="s">
        <v>765</v>
      </c>
      <c r="F5" t="s">
        <v>633</v>
      </c>
      <c r="G5" t="s">
        <v>519</v>
      </c>
      <c r="H5" t="s">
        <v>597</v>
      </c>
      <c r="I5" t="s">
        <v>521</v>
      </c>
      <c r="J5" t="s">
        <v>522</v>
      </c>
    </row>
    <row r="6" spans="1:10" x14ac:dyDescent="0.25">
      <c r="A6" s="4" t="s">
        <v>598</v>
      </c>
      <c r="B6" t="s">
        <v>599</v>
      </c>
      <c r="C6" t="s">
        <v>9</v>
      </c>
      <c r="D6" t="s">
        <v>332</v>
      </c>
      <c r="E6" t="s">
        <v>765</v>
      </c>
      <c r="F6" t="s">
        <v>633</v>
      </c>
      <c r="G6" t="s">
        <v>519</v>
      </c>
      <c r="H6" t="s">
        <v>600</v>
      </c>
      <c r="I6" t="s">
        <v>521</v>
      </c>
      <c r="J6" t="s">
        <v>522</v>
      </c>
    </row>
    <row r="7" spans="1:10" x14ac:dyDescent="0.25">
      <c r="A7" s="4" t="s">
        <v>601</v>
      </c>
      <c r="B7" t="s">
        <v>602</v>
      </c>
      <c r="C7" t="s">
        <v>9</v>
      </c>
      <c r="D7" t="s">
        <v>332</v>
      </c>
      <c r="E7" t="s">
        <v>765</v>
      </c>
      <c r="F7" t="s">
        <v>633</v>
      </c>
      <c r="G7" t="s">
        <v>520</v>
      </c>
      <c r="H7" t="s">
        <v>603</v>
      </c>
      <c r="I7" t="s">
        <v>521</v>
      </c>
      <c r="J7" t="s">
        <v>522</v>
      </c>
    </row>
    <row r="8" spans="1:10" x14ac:dyDescent="0.25">
      <c r="A8" s="4" t="s">
        <v>604</v>
      </c>
      <c r="B8" t="s">
        <v>769</v>
      </c>
      <c r="C8" t="s">
        <v>9</v>
      </c>
      <c r="D8" t="s">
        <v>332</v>
      </c>
      <c r="E8" t="s">
        <v>765</v>
      </c>
      <c r="F8" t="s">
        <v>633</v>
      </c>
      <c r="G8" t="s">
        <v>519</v>
      </c>
      <c r="H8" t="s">
        <v>520</v>
      </c>
      <c r="I8" t="s">
        <v>605</v>
      </c>
      <c r="J8" t="s">
        <v>606</v>
      </c>
    </row>
    <row r="9" spans="1:10" x14ac:dyDescent="0.25">
      <c r="A9" s="4" t="s">
        <v>607</v>
      </c>
      <c r="B9" t="s">
        <v>767</v>
      </c>
      <c r="C9" t="s">
        <v>9</v>
      </c>
      <c r="D9" t="s">
        <v>332</v>
      </c>
      <c r="E9" t="s">
        <v>765</v>
      </c>
      <c r="F9" t="s">
        <v>633</v>
      </c>
      <c r="G9" t="s">
        <v>519</v>
      </c>
      <c r="H9" t="s">
        <v>520</v>
      </c>
      <c r="I9" t="s">
        <v>521</v>
      </c>
      <c r="J9" t="s">
        <v>608</v>
      </c>
    </row>
    <row r="10" spans="1:10" x14ac:dyDescent="0.25">
      <c r="A10" s="4" t="s">
        <v>609</v>
      </c>
      <c r="B10" t="s">
        <v>768</v>
      </c>
      <c r="C10" t="s">
        <v>9</v>
      </c>
      <c r="D10" t="s">
        <v>332</v>
      </c>
      <c r="E10" t="s">
        <v>765</v>
      </c>
      <c r="F10" t="s">
        <v>633</v>
      </c>
      <c r="G10" t="s">
        <v>519</v>
      </c>
      <c r="H10" t="s">
        <v>520</v>
      </c>
      <c r="I10" t="s">
        <v>521</v>
      </c>
      <c r="J10" t="s">
        <v>608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CBC60-04D9-4116-9A8A-8F30DF989B3F}">
  <dimension ref="A1:E8"/>
  <sheetViews>
    <sheetView workbookViewId="0">
      <selection activeCell="C10" sqref="C10"/>
    </sheetView>
  </sheetViews>
  <sheetFormatPr defaultRowHeight="15" x14ac:dyDescent="0.25"/>
  <cols>
    <col min="1" max="1" width="31.85546875" bestFit="1" customWidth="1"/>
    <col min="2" max="2" width="16.28515625" bestFit="1" customWidth="1"/>
    <col min="3" max="3" width="13.7109375" bestFit="1" customWidth="1"/>
    <col min="4" max="4" width="13.5703125" bestFit="1" customWidth="1"/>
    <col min="5" max="5" width="50.140625" bestFit="1" customWidth="1"/>
  </cols>
  <sheetData>
    <row r="1" spans="1:5" x14ac:dyDescent="0.25">
      <c r="A1" t="s">
        <v>60</v>
      </c>
      <c r="B1" t="s">
        <v>525</v>
      </c>
      <c r="C1" t="s">
        <v>273</v>
      </c>
      <c r="D1" t="s">
        <v>526</v>
      </c>
      <c r="E1" t="s">
        <v>319</v>
      </c>
    </row>
    <row r="2" spans="1:5" x14ac:dyDescent="0.25">
      <c r="A2" t="s">
        <v>530</v>
      </c>
      <c r="B2" t="s">
        <v>541</v>
      </c>
      <c r="C2" t="s">
        <v>540</v>
      </c>
      <c r="D2" t="s">
        <v>532</v>
      </c>
    </row>
    <row r="3" spans="1:5" x14ac:dyDescent="0.25">
      <c r="A3" t="s">
        <v>531</v>
      </c>
      <c r="B3" t="s">
        <v>541</v>
      </c>
      <c r="C3" t="s">
        <v>540</v>
      </c>
      <c r="D3" t="s">
        <v>532</v>
      </c>
    </row>
    <row r="4" spans="1:5" x14ac:dyDescent="0.25">
      <c r="A4" t="s">
        <v>533</v>
      </c>
      <c r="B4" t="s">
        <v>541</v>
      </c>
      <c r="C4" t="s">
        <v>540</v>
      </c>
      <c r="D4" t="s">
        <v>543</v>
      </c>
      <c r="E4" t="s">
        <v>542</v>
      </c>
    </row>
    <row r="5" spans="1:5" x14ac:dyDescent="0.25">
      <c r="A5" t="s">
        <v>711</v>
      </c>
      <c r="B5" t="s">
        <v>541</v>
      </c>
      <c r="C5" t="s">
        <v>693</v>
      </c>
      <c r="D5" t="s">
        <v>532</v>
      </c>
    </row>
    <row r="6" spans="1:5" x14ac:dyDescent="0.25">
      <c r="A6" t="s">
        <v>712</v>
      </c>
      <c r="B6" t="s">
        <v>541</v>
      </c>
      <c r="C6" t="s">
        <v>540</v>
      </c>
      <c r="D6" t="s">
        <v>532</v>
      </c>
    </row>
    <row r="7" spans="1:5" x14ac:dyDescent="0.25">
      <c r="A7" t="s">
        <v>713</v>
      </c>
      <c r="B7" t="s">
        <v>541</v>
      </c>
      <c r="C7" t="s">
        <v>697</v>
      </c>
      <c r="D7" t="s">
        <v>532</v>
      </c>
    </row>
    <row r="8" spans="1:5" x14ac:dyDescent="0.25">
      <c r="A8" t="s">
        <v>714</v>
      </c>
      <c r="B8" t="s">
        <v>541</v>
      </c>
      <c r="C8" t="s">
        <v>700</v>
      </c>
      <c r="D8" t="s">
        <v>532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53A08-B735-4336-8701-0D23C8CC3545}">
  <dimension ref="A1:I11"/>
  <sheetViews>
    <sheetView workbookViewId="0">
      <selection activeCell="J8" sqref="J8"/>
    </sheetView>
  </sheetViews>
  <sheetFormatPr defaultRowHeight="15" x14ac:dyDescent="0.25"/>
  <cols>
    <col min="1" max="1" width="37.28515625" bestFit="1" customWidth="1"/>
    <col min="2" max="2" width="24.42578125" bestFit="1" customWidth="1"/>
    <col min="3" max="3" width="19.42578125" bestFit="1" customWidth="1"/>
    <col min="4" max="4" width="20.42578125" bestFit="1" customWidth="1"/>
    <col min="5" max="5" width="10.140625" bestFit="1" customWidth="1"/>
    <col min="7" max="7" width="13.7109375" bestFit="1" customWidth="1"/>
    <col min="9" max="9" width="13.5703125" bestFit="1" customWidth="1"/>
  </cols>
  <sheetData>
    <row r="1" spans="1:9" x14ac:dyDescent="0.25">
      <c r="A1" t="s">
        <v>60</v>
      </c>
      <c r="B1" t="s">
        <v>66</v>
      </c>
      <c r="C1" t="s">
        <v>527</v>
      </c>
      <c r="D1" t="s">
        <v>319</v>
      </c>
      <c r="E1" t="s">
        <v>538</v>
      </c>
      <c r="F1" t="s">
        <v>539</v>
      </c>
      <c r="G1" t="s">
        <v>273</v>
      </c>
      <c r="H1" t="s">
        <v>525</v>
      </c>
      <c r="I1" t="s">
        <v>526</v>
      </c>
    </row>
    <row r="2" spans="1:9" x14ac:dyDescent="0.25">
      <c r="A2" t="s">
        <v>528</v>
      </c>
      <c r="B2" t="s">
        <v>529</v>
      </c>
    </row>
    <row r="3" spans="1:9" x14ac:dyDescent="0.25">
      <c r="A3" t="s">
        <v>530</v>
      </c>
      <c r="C3" t="s">
        <v>453</v>
      </c>
    </row>
    <row r="4" spans="1:9" x14ac:dyDescent="0.25">
      <c r="A4" t="s">
        <v>531</v>
      </c>
    </row>
    <row r="5" spans="1:9" x14ac:dyDescent="0.25">
      <c r="A5" t="s">
        <v>533</v>
      </c>
    </row>
    <row r="6" spans="1:9" x14ac:dyDescent="0.25">
      <c r="A6" t="s">
        <v>534</v>
      </c>
      <c r="D6" t="s">
        <v>535</v>
      </c>
    </row>
    <row r="7" spans="1:9" x14ac:dyDescent="0.25">
      <c r="A7" t="s">
        <v>536</v>
      </c>
      <c r="D7" t="s">
        <v>537</v>
      </c>
    </row>
    <row r="8" spans="1:9" x14ac:dyDescent="0.25">
      <c r="A8" t="s">
        <v>724</v>
      </c>
      <c r="B8" t="s">
        <v>529</v>
      </c>
      <c r="G8" t="s">
        <v>728</v>
      </c>
      <c r="H8" t="s">
        <v>541</v>
      </c>
      <c r="I8" t="s">
        <v>532</v>
      </c>
    </row>
    <row r="9" spans="1:9" x14ac:dyDescent="0.25">
      <c r="A9" t="s">
        <v>715</v>
      </c>
      <c r="B9" t="s">
        <v>529</v>
      </c>
    </row>
    <row r="10" spans="1:9" x14ac:dyDescent="0.25">
      <c r="A10" t="s">
        <v>716</v>
      </c>
      <c r="B10" t="s">
        <v>529</v>
      </c>
    </row>
    <row r="11" spans="1:9" x14ac:dyDescent="0.25">
      <c r="A11" t="s">
        <v>717</v>
      </c>
      <c r="B11" t="s">
        <v>529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6ABCD-38D2-42D8-B24D-3D09709D93B9}">
  <dimension ref="A1:H6"/>
  <sheetViews>
    <sheetView workbookViewId="0">
      <selection activeCell="H6" sqref="H6"/>
    </sheetView>
  </sheetViews>
  <sheetFormatPr defaultRowHeight="15" x14ac:dyDescent="0.25"/>
  <cols>
    <col min="1" max="1" width="20.28515625" bestFit="1" customWidth="1"/>
    <col min="2" max="2" width="17.5703125" bestFit="1" customWidth="1"/>
    <col min="3" max="3" width="15.28515625" bestFit="1" customWidth="1"/>
    <col min="4" max="4" width="13.5703125" bestFit="1" customWidth="1"/>
    <col min="5" max="5" width="22.85546875" bestFit="1" customWidth="1"/>
    <col min="6" max="6" width="24.42578125" bestFit="1" customWidth="1"/>
    <col min="7" max="7" width="20.42578125" bestFit="1" customWidth="1"/>
    <col min="8" max="8" width="14.140625" bestFit="1" customWidth="1"/>
  </cols>
  <sheetData>
    <row r="1" spans="1:8" x14ac:dyDescent="0.25">
      <c r="A1" t="s">
        <v>60</v>
      </c>
      <c r="B1" t="s">
        <v>423</v>
      </c>
      <c r="C1" t="s">
        <v>544</v>
      </c>
      <c r="D1" t="s">
        <v>545</v>
      </c>
      <c r="E1" t="s">
        <v>424</v>
      </c>
      <c r="F1" t="s">
        <v>66</v>
      </c>
      <c r="G1" t="s">
        <v>319</v>
      </c>
      <c r="H1" t="s">
        <v>554</v>
      </c>
    </row>
    <row r="2" spans="1:8" x14ac:dyDescent="0.25">
      <c r="A2" t="s">
        <v>546</v>
      </c>
      <c r="F2" t="s">
        <v>547</v>
      </c>
    </row>
    <row r="3" spans="1:8" x14ac:dyDescent="0.25">
      <c r="A3" t="s">
        <v>548</v>
      </c>
      <c r="B3" t="s">
        <v>325</v>
      </c>
      <c r="C3" t="s">
        <v>550</v>
      </c>
      <c r="D3" t="s">
        <v>540</v>
      </c>
      <c r="E3" t="s">
        <v>551</v>
      </c>
    </row>
    <row r="4" spans="1:8" x14ac:dyDescent="0.25">
      <c r="A4" t="s">
        <v>549</v>
      </c>
      <c r="B4" t="s">
        <v>325</v>
      </c>
      <c r="C4" t="s">
        <v>550</v>
      </c>
      <c r="D4" t="s">
        <v>540</v>
      </c>
      <c r="E4" t="s">
        <v>551</v>
      </c>
      <c r="G4" t="s">
        <v>552</v>
      </c>
    </row>
    <row r="5" spans="1:8" x14ac:dyDescent="0.25">
      <c r="A5" t="s">
        <v>553</v>
      </c>
      <c r="B5" t="s">
        <v>325</v>
      </c>
      <c r="F5" t="s">
        <v>547</v>
      </c>
    </row>
    <row r="6" spans="1:8" x14ac:dyDescent="0.25">
      <c r="A6" t="s">
        <v>555</v>
      </c>
      <c r="B6" t="s">
        <v>325</v>
      </c>
      <c r="C6" t="s">
        <v>556</v>
      </c>
      <c r="D6" t="s">
        <v>540</v>
      </c>
      <c r="E6" t="s">
        <v>557</v>
      </c>
      <c r="F6" t="s">
        <v>547</v>
      </c>
      <c r="G6" t="s">
        <v>552</v>
      </c>
      <c r="H6" t="s">
        <v>558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18187-4AAF-4583-B5B0-A55F2443CBEA}">
  <dimension ref="A1:F4"/>
  <sheetViews>
    <sheetView workbookViewId="0">
      <selection activeCell="E13" sqref="E13"/>
    </sheetView>
  </sheetViews>
  <sheetFormatPr defaultRowHeight="15" x14ac:dyDescent="0.25"/>
  <cols>
    <col min="1" max="1" width="24.7109375" bestFit="1" customWidth="1"/>
    <col min="2" max="2" width="17.5703125" bestFit="1" customWidth="1"/>
    <col min="3" max="3" width="11" bestFit="1" customWidth="1"/>
    <col min="5" max="5" width="16.28515625" bestFit="1" customWidth="1"/>
    <col min="6" max="6" width="24.42578125" bestFit="1" customWidth="1"/>
  </cols>
  <sheetData>
    <row r="1" spans="1:6" x14ac:dyDescent="0.25">
      <c r="A1" t="s">
        <v>60</v>
      </c>
      <c r="B1" t="s">
        <v>423</v>
      </c>
      <c r="C1" t="s">
        <v>559</v>
      </c>
      <c r="D1" t="s">
        <v>560</v>
      </c>
      <c r="E1" t="s">
        <v>561</v>
      </c>
      <c r="F1" t="s">
        <v>66</v>
      </c>
    </row>
    <row r="2" spans="1:6" x14ac:dyDescent="0.25">
      <c r="A2" t="s">
        <v>562</v>
      </c>
      <c r="F2" t="s">
        <v>9</v>
      </c>
    </row>
    <row r="3" spans="1:6" x14ac:dyDescent="0.25">
      <c r="A3" t="s">
        <v>563</v>
      </c>
      <c r="B3" t="s">
        <v>325</v>
      </c>
      <c r="C3" t="s">
        <v>308</v>
      </c>
      <c r="D3" t="s">
        <v>2</v>
      </c>
      <c r="F3" t="s">
        <v>9</v>
      </c>
    </row>
    <row r="4" spans="1:6" x14ac:dyDescent="0.25">
      <c r="A4" t="s">
        <v>564</v>
      </c>
      <c r="B4" t="s">
        <v>325</v>
      </c>
      <c r="C4" t="s">
        <v>308</v>
      </c>
      <c r="D4" t="s">
        <v>2</v>
      </c>
      <c r="E4" t="s">
        <v>565</v>
      </c>
      <c r="F4" t="s">
        <v>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A27A4-385F-4961-9057-08F2F566C6FE}">
  <dimension ref="A1:G3"/>
  <sheetViews>
    <sheetView workbookViewId="0">
      <selection activeCell="E3" sqref="E3"/>
    </sheetView>
  </sheetViews>
  <sheetFormatPr defaultRowHeight="15" x14ac:dyDescent="0.25"/>
  <cols>
    <col min="1" max="1" width="20.28515625" bestFit="1" customWidth="1"/>
    <col min="5" max="5" width="11" bestFit="1" customWidth="1"/>
  </cols>
  <sheetData>
    <row r="1" spans="1:7" x14ac:dyDescent="0.25">
      <c r="A1" t="s">
        <v>60</v>
      </c>
      <c r="D1" t="s">
        <v>423</v>
      </c>
      <c r="E1" t="s">
        <v>559</v>
      </c>
      <c r="F1" t="s">
        <v>566</v>
      </c>
      <c r="G1" t="s">
        <v>66</v>
      </c>
    </row>
    <row r="2" spans="1:7" x14ac:dyDescent="0.25">
      <c r="A2" t="s">
        <v>569</v>
      </c>
      <c r="G2" t="s">
        <v>567</v>
      </c>
    </row>
    <row r="3" spans="1:7" x14ac:dyDescent="0.25">
      <c r="A3" t="s">
        <v>570</v>
      </c>
      <c r="D3" t="s">
        <v>325</v>
      </c>
      <c r="E3" t="s">
        <v>308</v>
      </c>
      <c r="F3" t="s">
        <v>2</v>
      </c>
      <c r="G3" t="s">
        <v>568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8E0EC-9C80-4883-A7C3-9A39CD58E4B8}">
  <dimension ref="A1:E3"/>
  <sheetViews>
    <sheetView workbookViewId="0">
      <selection activeCell="H4" sqref="H4"/>
    </sheetView>
  </sheetViews>
  <sheetFormatPr defaultRowHeight="15" x14ac:dyDescent="0.25"/>
  <cols>
    <col min="1" max="1" width="20.140625" bestFit="1" customWidth="1"/>
    <col min="2" max="2" width="17.5703125" bestFit="1" customWidth="1"/>
  </cols>
  <sheetData>
    <row r="1" spans="1:5" x14ac:dyDescent="0.25">
      <c r="A1" t="s">
        <v>60</v>
      </c>
      <c r="B1" t="s">
        <v>423</v>
      </c>
      <c r="C1" t="s">
        <v>559</v>
      </c>
      <c r="D1" t="s">
        <v>566</v>
      </c>
      <c r="E1" t="s">
        <v>66</v>
      </c>
    </row>
    <row r="2" spans="1:5" x14ac:dyDescent="0.25">
      <c r="A2" t="s">
        <v>571</v>
      </c>
      <c r="E2" t="s">
        <v>567</v>
      </c>
    </row>
    <row r="3" spans="1:5" x14ac:dyDescent="0.25">
      <c r="A3" t="s">
        <v>572</v>
      </c>
      <c r="B3" t="s">
        <v>325</v>
      </c>
      <c r="C3" t="s">
        <v>305</v>
      </c>
      <c r="D3" t="s">
        <v>2</v>
      </c>
      <c r="E3" t="s">
        <v>568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0B361-E65A-443A-BA9D-EADA0782EBB2}">
  <dimension ref="A1:L3"/>
  <sheetViews>
    <sheetView workbookViewId="0">
      <selection activeCell="C2" sqref="C2"/>
    </sheetView>
  </sheetViews>
  <sheetFormatPr defaultRowHeight="15" x14ac:dyDescent="0.25"/>
  <cols>
    <col min="1" max="1" width="18.85546875" bestFit="1" customWidth="1"/>
    <col min="2" max="2" width="45" bestFit="1" customWidth="1"/>
    <col min="3" max="3" width="22" bestFit="1" customWidth="1"/>
    <col min="4" max="4" width="15.7109375" bestFit="1" customWidth="1"/>
    <col min="5" max="5" width="13.7109375" bestFit="1" customWidth="1"/>
    <col min="6" max="6" width="14.42578125" bestFit="1" customWidth="1"/>
    <col min="7" max="7" width="8.28515625" bestFit="1" customWidth="1"/>
    <col min="11" max="11" width="42.7109375" bestFit="1" customWidth="1"/>
    <col min="12" max="12" width="68.5703125" bestFit="1" customWidth="1"/>
  </cols>
  <sheetData>
    <row r="1" spans="1:12" x14ac:dyDescent="0.25">
      <c r="A1" s="5" t="s">
        <v>60</v>
      </c>
      <c r="B1" s="5" t="s">
        <v>71</v>
      </c>
      <c r="C1" s="12" t="s">
        <v>182</v>
      </c>
      <c r="D1" s="12" t="s">
        <v>181</v>
      </c>
      <c r="E1" s="12" t="s">
        <v>180</v>
      </c>
      <c r="F1" s="12" t="s">
        <v>171</v>
      </c>
      <c r="G1" s="12" t="s">
        <v>172</v>
      </c>
      <c r="H1" s="12" t="s">
        <v>173</v>
      </c>
      <c r="I1" s="12" t="s">
        <v>174</v>
      </c>
      <c r="J1" s="12" t="s">
        <v>175</v>
      </c>
      <c r="K1" s="5" t="s">
        <v>91</v>
      </c>
      <c r="L1" s="5" t="s">
        <v>66</v>
      </c>
    </row>
    <row r="2" spans="1:12" x14ac:dyDescent="0.25">
      <c r="A2" t="s">
        <v>584</v>
      </c>
      <c r="B2" s="1" t="s">
        <v>585</v>
      </c>
      <c r="C2" s="8" t="s">
        <v>29</v>
      </c>
      <c r="D2" s="8">
        <v>2</v>
      </c>
      <c r="E2" s="8">
        <v>8900123</v>
      </c>
      <c r="F2" s="8"/>
      <c r="G2" s="8"/>
      <c r="H2" s="8"/>
      <c r="I2" s="8"/>
      <c r="J2" s="8"/>
      <c r="K2" s="8"/>
      <c r="L2" s="8" t="str">
        <f>CONCATENATE("Serial codes are exported successfully ",CHAR(10),"For extDigit : ",D2," and prefix : ",E2)</f>
        <v>Serial codes are exported successfully 
For extDigit : 2 and prefix : 8900123</v>
      </c>
    </row>
    <row r="3" spans="1:12" x14ac:dyDescent="0.25">
      <c r="A3" t="s">
        <v>586</v>
      </c>
      <c r="B3" s="1" t="s">
        <v>587</v>
      </c>
      <c r="C3" s="8" t="s">
        <v>29</v>
      </c>
      <c r="D3" s="8">
        <v>2</v>
      </c>
      <c r="E3" s="8">
        <v>8900123</v>
      </c>
      <c r="F3" s="8"/>
      <c r="G3" s="8"/>
      <c r="H3" s="8"/>
      <c r="I3" s="8"/>
      <c r="J3" s="8"/>
      <c r="K3" s="8" t="s">
        <v>588</v>
      </c>
      <c r="L3" s="8" t="s">
        <v>589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2A5E5-4221-4292-B2E7-896D44D69EAE}">
  <dimension ref="A1:P26"/>
  <sheetViews>
    <sheetView workbookViewId="0">
      <selection activeCell="E10" sqref="E10"/>
    </sheetView>
  </sheetViews>
  <sheetFormatPr defaultRowHeight="15" x14ac:dyDescent="0.25"/>
  <cols>
    <col min="1" max="1" width="35.7109375" bestFit="1" customWidth="1"/>
    <col min="2" max="2" width="76.42578125" bestFit="1" customWidth="1"/>
    <col min="3" max="3" width="18.85546875" bestFit="1" customWidth="1"/>
    <col min="4" max="4" width="13.7109375" bestFit="1" customWidth="1"/>
    <col min="5" max="5" width="23.5703125" bestFit="1" customWidth="1"/>
    <col min="6" max="6" width="30.5703125" bestFit="1" customWidth="1"/>
    <col min="7" max="7" width="31.7109375" bestFit="1" customWidth="1"/>
    <col min="8" max="8" width="19.28515625" bestFit="1" customWidth="1"/>
    <col min="9" max="9" width="8" bestFit="1" customWidth="1"/>
    <col min="10" max="10" width="8.140625" bestFit="1" customWidth="1"/>
    <col min="11" max="11" width="8.5703125" bestFit="1" customWidth="1"/>
    <col min="12" max="12" width="26.85546875" bestFit="1" customWidth="1"/>
    <col min="13" max="13" width="20.5703125" bestFit="1" customWidth="1"/>
    <col min="14" max="14" width="98.5703125" bestFit="1" customWidth="1"/>
    <col min="15" max="15" width="13.7109375" bestFit="1" customWidth="1"/>
    <col min="16" max="16" width="9" bestFit="1" customWidth="1"/>
  </cols>
  <sheetData>
    <row r="1" spans="1:16" x14ac:dyDescent="0.25">
      <c r="A1" t="s">
        <v>60</v>
      </c>
      <c r="B1" t="s">
        <v>66</v>
      </c>
      <c r="C1" t="s">
        <v>318</v>
      </c>
      <c r="D1" t="s">
        <v>316</v>
      </c>
      <c r="E1" t="s">
        <v>418</v>
      </c>
      <c r="F1" t="s">
        <v>419</v>
      </c>
      <c r="G1" t="s">
        <v>420</v>
      </c>
      <c r="H1" t="s">
        <v>421</v>
      </c>
      <c r="I1" t="s">
        <v>422</v>
      </c>
      <c r="J1" t="s">
        <v>423</v>
      </c>
      <c r="K1" t="s">
        <v>424</v>
      </c>
      <c r="L1" t="s">
        <v>425</v>
      </c>
      <c r="M1" t="s">
        <v>426</v>
      </c>
      <c r="N1" t="s">
        <v>427</v>
      </c>
      <c r="O1" t="s">
        <v>428</v>
      </c>
      <c r="P1" t="s">
        <v>429</v>
      </c>
    </row>
    <row r="2" spans="1:16" x14ac:dyDescent="0.25">
      <c r="A2" t="s">
        <v>430</v>
      </c>
      <c r="B2" t="s">
        <v>374</v>
      </c>
      <c r="C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</row>
    <row r="3" spans="1:16" x14ac:dyDescent="0.25">
      <c r="A3" t="s">
        <v>431</v>
      </c>
      <c r="B3" t="s">
        <v>432</v>
      </c>
      <c r="C3" t="s">
        <v>2</v>
      </c>
      <c r="E3" t="s">
        <v>433</v>
      </c>
      <c r="F3" t="s">
        <v>434</v>
      </c>
      <c r="G3" t="s">
        <v>435</v>
      </c>
      <c r="H3" t="s">
        <v>2</v>
      </c>
      <c r="I3" t="s">
        <v>576</v>
      </c>
      <c r="J3" t="s">
        <v>2</v>
      </c>
      <c r="K3" t="s">
        <v>463</v>
      </c>
      <c r="L3" t="s">
        <v>2</v>
      </c>
      <c r="M3" t="s">
        <v>2</v>
      </c>
      <c r="O3" t="s">
        <v>2</v>
      </c>
    </row>
    <row r="4" spans="1:16" x14ac:dyDescent="0.25">
      <c r="A4" t="s">
        <v>436</v>
      </c>
      <c r="B4" t="s">
        <v>437</v>
      </c>
      <c r="C4" t="s">
        <v>2</v>
      </c>
      <c r="F4" t="s">
        <v>438</v>
      </c>
      <c r="G4" t="s">
        <v>438</v>
      </c>
      <c r="H4" t="s">
        <v>2</v>
      </c>
      <c r="I4" t="s">
        <v>576</v>
      </c>
      <c r="J4" t="s">
        <v>2</v>
      </c>
      <c r="K4" t="s">
        <v>463</v>
      </c>
      <c r="L4" t="s">
        <v>439</v>
      </c>
      <c r="M4" t="s">
        <v>439</v>
      </c>
      <c r="N4" t="s">
        <v>578</v>
      </c>
      <c r="O4" t="s">
        <v>2</v>
      </c>
    </row>
    <row r="5" spans="1:16" x14ac:dyDescent="0.25">
      <c r="A5" t="s">
        <v>440</v>
      </c>
      <c r="B5" t="s">
        <v>441</v>
      </c>
      <c r="C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463</v>
      </c>
      <c r="L5" t="s">
        <v>441</v>
      </c>
      <c r="M5" t="s">
        <v>441</v>
      </c>
      <c r="N5" t="s">
        <v>441</v>
      </c>
      <c r="O5" t="s">
        <v>2</v>
      </c>
    </row>
    <row r="6" spans="1:16" x14ac:dyDescent="0.25">
      <c r="A6" t="s">
        <v>442</v>
      </c>
      <c r="B6" t="s">
        <v>443</v>
      </c>
      <c r="C6" t="s">
        <v>2</v>
      </c>
      <c r="D6" t="s">
        <v>2</v>
      </c>
      <c r="E6" s="16"/>
      <c r="F6" t="s">
        <v>2</v>
      </c>
      <c r="G6" t="s">
        <v>2</v>
      </c>
      <c r="H6" t="s">
        <v>2</v>
      </c>
      <c r="I6" t="s">
        <v>444</v>
      </c>
      <c r="J6" s="8"/>
      <c r="K6" t="s">
        <v>463</v>
      </c>
      <c r="L6" t="s">
        <v>441</v>
      </c>
      <c r="M6" t="s">
        <v>2</v>
      </c>
      <c r="O6" t="s">
        <v>2</v>
      </c>
      <c r="P6">
        <v>11523369</v>
      </c>
    </row>
    <row r="7" spans="1:16" x14ac:dyDescent="0.25">
      <c r="A7" t="s">
        <v>445</v>
      </c>
      <c r="B7" t="s">
        <v>446</v>
      </c>
      <c r="C7" t="s">
        <v>2</v>
      </c>
      <c r="F7" t="s">
        <v>2</v>
      </c>
      <c r="G7" t="s">
        <v>2</v>
      </c>
      <c r="H7" t="s">
        <v>2</v>
      </c>
      <c r="I7" t="s">
        <v>444</v>
      </c>
      <c r="J7" t="s">
        <v>2</v>
      </c>
      <c r="K7" t="s">
        <v>463</v>
      </c>
      <c r="L7" t="s">
        <v>441</v>
      </c>
      <c r="M7" t="s">
        <v>439</v>
      </c>
      <c r="O7" t="s">
        <v>2</v>
      </c>
    </row>
    <row r="8" spans="1:16" x14ac:dyDescent="0.25">
      <c r="A8" t="s">
        <v>447</v>
      </c>
      <c r="B8" t="s">
        <v>437</v>
      </c>
      <c r="C8" t="s">
        <v>2</v>
      </c>
      <c r="E8" s="16"/>
      <c r="F8" t="s">
        <v>438</v>
      </c>
      <c r="G8" t="s">
        <v>438</v>
      </c>
      <c r="H8" t="s">
        <v>2</v>
      </c>
      <c r="I8" t="s">
        <v>444</v>
      </c>
      <c r="J8" t="s">
        <v>2</v>
      </c>
      <c r="K8" t="s">
        <v>463</v>
      </c>
      <c r="L8" t="s">
        <v>439</v>
      </c>
      <c r="M8" t="s">
        <v>439</v>
      </c>
    </row>
    <row r="9" spans="1:16" x14ac:dyDescent="0.25">
      <c r="A9" t="s">
        <v>448</v>
      </c>
      <c r="B9" t="s">
        <v>449</v>
      </c>
      <c r="C9" t="s">
        <v>2</v>
      </c>
      <c r="E9" t="s">
        <v>2</v>
      </c>
      <c r="F9" t="s">
        <v>2</v>
      </c>
      <c r="G9" t="s">
        <v>2</v>
      </c>
      <c r="H9" t="s">
        <v>2</v>
      </c>
      <c r="I9" t="s">
        <v>444</v>
      </c>
      <c r="J9" t="s">
        <v>2</v>
      </c>
      <c r="K9" t="s">
        <v>463</v>
      </c>
      <c r="L9" t="s">
        <v>450</v>
      </c>
      <c r="M9" t="s">
        <v>2</v>
      </c>
      <c r="N9" t="s">
        <v>2</v>
      </c>
      <c r="O9" t="s">
        <v>2</v>
      </c>
    </row>
    <row r="10" spans="1:16" x14ac:dyDescent="0.25">
      <c r="A10" t="s">
        <v>451</v>
      </c>
      <c r="P10">
        <v>11523369</v>
      </c>
    </row>
    <row r="11" spans="1:16" x14ac:dyDescent="0.25">
      <c r="A11" t="s">
        <v>452</v>
      </c>
      <c r="B11" t="s">
        <v>453</v>
      </c>
      <c r="C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444</v>
      </c>
      <c r="K11" t="s">
        <v>2</v>
      </c>
      <c r="L11" t="s">
        <v>450</v>
      </c>
      <c r="M11" t="s">
        <v>2</v>
      </c>
      <c r="N11" t="s">
        <v>2</v>
      </c>
      <c r="O11" t="s">
        <v>2</v>
      </c>
    </row>
    <row r="12" spans="1:16" x14ac:dyDescent="0.25">
      <c r="A12" t="s">
        <v>454</v>
      </c>
      <c r="B12" t="s">
        <v>455</v>
      </c>
      <c r="C12" t="s">
        <v>2</v>
      </c>
      <c r="E12" t="s">
        <v>2</v>
      </c>
      <c r="F12" t="s">
        <v>2</v>
      </c>
      <c r="G12" t="s">
        <v>2</v>
      </c>
      <c r="H12" t="s">
        <v>2</v>
      </c>
      <c r="I12" t="s">
        <v>444</v>
      </c>
      <c r="J12" t="s">
        <v>2</v>
      </c>
      <c r="K12" t="s">
        <v>463</v>
      </c>
      <c r="L12" t="s">
        <v>450</v>
      </c>
      <c r="M12" t="s">
        <v>2</v>
      </c>
      <c r="N12" t="s">
        <v>2</v>
      </c>
      <c r="O12" t="s">
        <v>306</v>
      </c>
    </row>
    <row r="13" spans="1:16" x14ac:dyDescent="0.25">
      <c r="A13" t="s">
        <v>456</v>
      </c>
      <c r="B13" t="s">
        <v>457</v>
      </c>
      <c r="C13" t="s">
        <v>2</v>
      </c>
      <c r="F13" t="s">
        <v>2</v>
      </c>
      <c r="G13" t="s">
        <v>2</v>
      </c>
      <c r="H13" t="s">
        <v>2</v>
      </c>
      <c r="I13" t="s">
        <v>444</v>
      </c>
      <c r="J13" t="s">
        <v>2</v>
      </c>
      <c r="K13" t="s">
        <v>463</v>
      </c>
      <c r="L13" t="s">
        <v>458</v>
      </c>
      <c r="M13" t="s">
        <v>2</v>
      </c>
      <c r="N13" t="s">
        <v>459</v>
      </c>
      <c r="O13" s="15" t="s">
        <v>460</v>
      </c>
    </row>
    <row r="14" spans="1:16" x14ac:dyDescent="0.25">
      <c r="A14" t="s">
        <v>461</v>
      </c>
      <c r="B14" t="s">
        <v>462</v>
      </c>
      <c r="C14" t="s">
        <v>2</v>
      </c>
      <c r="E14" t="s">
        <v>2</v>
      </c>
      <c r="F14" t="s">
        <v>2</v>
      </c>
      <c r="G14" t="s">
        <v>2</v>
      </c>
      <c r="H14" t="s">
        <v>2</v>
      </c>
      <c r="I14" t="s">
        <v>444</v>
      </c>
      <c r="J14" t="s">
        <v>2</v>
      </c>
      <c r="K14" t="s">
        <v>463</v>
      </c>
      <c r="L14" t="s">
        <v>450</v>
      </c>
      <c r="M14" t="s">
        <v>2</v>
      </c>
      <c r="N14" t="s">
        <v>2</v>
      </c>
    </row>
    <row r="15" spans="1:16" x14ac:dyDescent="0.25">
      <c r="A15" t="s">
        <v>725</v>
      </c>
      <c r="B15" t="s">
        <v>432</v>
      </c>
      <c r="C15" t="s">
        <v>2</v>
      </c>
      <c r="E15" t="s">
        <v>433</v>
      </c>
      <c r="F15" t="s">
        <v>434</v>
      </c>
      <c r="G15" t="s">
        <v>435</v>
      </c>
      <c r="H15" t="s">
        <v>2</v>
      </c>
      <c r="I15" t="s">
        <v>576</v>
      </c>
      <c r="J15" t="s">
        <v>2</v>
      </c>
      <c r="K15" t="s">
        <v>463</v>
      </c>
      <c r="L15" t="s">
        <v>2</v>
      </c>
      <c r="M15" t="s">
        <v>2</v>
      </c>
      <c r="O15" t="s">
        <v>2</v>
      </c>
    </row>
    <row r="16" spans="1:16" x14ac:dyDescent="0.25">
      <c r="A16" t="s">
        <v>726</v>
      </c>
      <c r="B16" t="s">
        <v>437</v>
      </c>
      <c r="C16" t="s">
        <v>2</v>
      </c>
      <c r="F16" t="s">
        <v>438</v>
      </c>
      <c r="G16" t="s">
        <v>438</v>
      </c>
      <c r="H16" t="s">
        <v>2</v>
      </c>
      <c r="I16" t="s">
        <v>576</v>
      </c>
      <c r="J16" t="s">
        <v>2</v>
      </c>
      <c r="K16" t="s">
        <v>463</v>
      </c>
      <c r="L16" t="s">
        <v>439</v>
      </c>
      <c r="M16" t="s">
        <v>439</v>
      </c>
      <c r="N16" t="s">
        <v>578</v>
      </c>
      <c r="O16" t="s">
        <v>2</v>
      </c>
    </row>
    <row r="17" spans="1:15" x14ac:dyDescent="0.25">
      <c r="A17" t="s">
        <v>727</v>
      </c>
      <c r="B17" t="s">
        <v>462</v>
      </c>
      <c r="C17" t="s">
        <v>2</v>
      </c>
      <c r="E17" t="s">
        <v>2</v>
      </c>
      <c r="F17" t="s">
        <v>2</v>
      </c>
      <c r="G17" t="s">
        <v>2</v>
      </c>
      <c r="H17" t="s">
        <v>2</v>
      </c>
      <c r="I17" t="s">
        <v>444</v>
      </c>
      <c r="J17" t="s">
        <v>2</v>
      </c>
      <c r="K17" t="s">
        <v>463</v>
      </c>
      <c r="L17" t="s">
        <v>450</v>
      </c>
      <c r="M17" t="s">
        <v>2</v>
      </c>
      <c r="N17" t="s">
        <v>2</v>
      </c>
    </row>
    <row r="18" spans="1:15" x14ac:dyDescent="0.25">
      <c r="A18" t="s">
        <v>702</v>
      </c>
      <c r="B18" t="s">
        <v>432</v>
      </c>
      <c r="C18" t="s">
        <v>2</v>
      </c>
      <c r="E18" t="s">
        <v>433</v>
      </c>
      <c r="F18" t="s">
        <v>434</v>
      </c>
      <c r="G18" t="s">
        <v>435</v>
      </c>
      <c r="H18" t="s">
        <v>2</v>
      </c>
      <c r="I18" t="s">
        <v>576</v>
      </c>
      <c r="J18" t="s">
        <v>2</v>
      </c>
      <c r="K18" t="s">
        <v>463</v>
      </c>
      <c r="L18" t="s">
        <v>2</v>
      </c>
      <c r="M18" t="s">
        <v>2</v>
      </c>
      <c r="O18" t="s">
        <v>2</v>
      </c>
    </row>
    <row r="19" spans="1:15" x14ac:dyDescent="0.25">
      <c r="A19" t="s">
        <v>703</v>
      </c>
      <c r="B19" t="s">
        <v>437</v>
      </c>
      <c r="C19" t="s">
        <v>2</v>
      </c>
      <c r="F19" t="s">
        <v>438</v>
      </c>
      <c r="G19" t="s">
        <v>438</v>
      </c>
      <c r="H19" t="s">
        <v>2</v>
      </c>
      <c r="I19" t="s">
        <v>576</v>
      </c>
      <c r="J19" t="s">
        <v>2</v>
      </c>
      <c r="K19" t="s">
        <v>463</v>
      </c>
      <c r="L19" t="s">
        <v>439</v>
      </c>
      <c r="M19" t="s">
        <v>439</v>
      </c>
      <c r="N19" t="s">
        <v>578</v>
      </c>
      <c r="O19" t="s">
        <v>2</v>
      </c>
    </row>
    <row r="20" spans="1:15" x14ac:dyDescent="0.25">
      <c r="A20" t="s">
        <v>704</v>
      </c>
      <c r="B20" t="s">
        <v>462</v>
      </c>
      <c r="C20" t="s">
        <v>2</v>
      </c>
      <c r="E20" t="s">
        <v>2</v>
      </c>
      <c r="F20" t="s">
        <v>2</v>
      </c>
      <c r="G20" t="s">
        <v>2</v>
      </c>
      <c r="H20" t="s">
        <v>2</v>
      </c>
      <c r="I20" t="s">
        <v>444</v>
      </c>
      <c r="J20" t="s">
        <v>2</v>
      </c>
      <c r="K20" t="s">
        <v>463</v>
      </c>
      <c r="L20" t="s">
        <v>450</v>
      </c>
      <c r="M20" t="s">
        <v>2</v>
      </c>
      <c r="N20" t="s">
        <v>2</v>
      </c>
    </row>
    <row r="21" spans="1:15" x14ac:dyDescent="0.25">
      <c r="A21" t="s">
        <v>705</v>
      </c>
      <c r="B21" t="s">
        <v>432</v>
      </c>
      <c r="C21" t="s">
        <v>2</v>
      </c>
      <c r="E21" t="s">
        <v>433</v>
      </c>
      <c r="F21" t="s">
        <v>434</v>
      </c>
      <c r="G21" t="s">
        <v>435</v>
      </c>
      <c r="H21" t="s">
        <v>2</v>
      </c>
      <c r="I21" t="s">
        <v>576</v>
      </c>
      <c r="J21" t="s">
        <v>2</v>
      </c>
      <c r="K21" t="s">
        <v>463</v>
      </c>
      <c r="L21" t="s">
        <v>2</v>
      </c>
      <c r="M21" t="s">
        <v>2</v>
      </c>
      <c r="O21" t="s">
        <v>2</v>
      </c>
    </row>
    <row r="22" spans="1:15" x14ac:dyDescent="0.25">
      <c r="A22" t="s">
        <v>706</v>
      </c>
      <c r="B22" t="s">
        <v>437</v>
      </c>
      <c r="C22" t="s">
        <v>2</v>
      </c>
      <c r="F22" t="s">
        <v>438</v>
      </c>
      <c r="G22" t="s">
        <v>438</v>
      </c>
      <c r="H22" t="s">
        <v>2</v>
      </c>
      <c r="I22" t="s">
        <v>576</v>
      </c>
      <c r="J22" t="s">
        <v>2</v>
      </c>
      <c r="K22" t="s">
        <v>463</v>
      </c>
      <c r="L22" t="s">
        <v>439</v>
      </c>
      <c r="M22" t="s">
        <v>439</v>
      </c>
      <c r="N22" t="s">
        <v>578</v>
      </c>
      <c r="O22" t="s">
        <v>2</v>
      </c>
    </row>
    <row r="23" spans="1:15" x14ac:dyDescent="0.25">
      <c r="A23" t="s">
        <v>707</v>
      </c>
      <c r="B23" t="s">
        <v>462</v>
      </c>
      <c r="C23" t="s">
        <v>2</v>
      </c>
      <c r="E23" t="s">
        <v>2</v>
      </c>
      <c r="F23" t="s">
        <v>2</v>
      </c>
      <c r="G23" t="s">
        <v>2</v>
      </c>
      <c r="H23" t="s">
        <v>2</v>
      </c>
      <c r="I23" t="s">
        <v>444</v>
      </c>
      <c r="J23" t="s">
        <v>2</v>
      </c>
      <c r="K23" t="s">
        <v>463</v>
      </c>
      <c r="L23" t="s">
        <v>450</v>
      </c>
      <c r="M23" t="s">
        <v>2</v>
      </c>
      <c r="N23" t="s">
        <v>2</v>
      </c>
    </row>
    <row r="24" spans="1:15" x14ac:dyDescent="0.25">
      <c r="A24" t="s">
        <v>708</v>
      </c>
      <c r="B24" t="s">
        <v>432</v>
      </c>
      <c r="C24" t="s">
        <v>2</v>
      </c>
      <c r="E24" t="s">
        <v>433</v>
      </c>
      <c r="F24" t="s">
        <v>434</v>
      </c>
      <c r="G24" t="s">
        <v>435</v>
      </c>
      <c r="H24" t="s">
        <v>2</v>
      </c>
      <c r="I24" t="s">
        <v>576</v>
      </c>
      <c r="J24" t="s">
        <v>2</v>
      </c>
      <c r="K24" t="s">
        <v>463</v>
      </c>
      <c r="L24" t="s">
        <v>2</v>
      </c>
      <c r="M24" t="s">
        <v>2</v>
      </c>
      <c r="O24" t="s">
        <v>2</v>
      </c>
    </row>
    <row r="25" spans="1:15" x14ac:dyDescent="0.25">
      <c r="A25" t="s">
        <v>709</v>
      </c>
      <c r="B25" t="s">
        <v>437</v>
      </c>
      <c r="C25" t="s">
        <v>2</v>
      </c>
      <c r="F25" t="s">
        <v>438</v>
      </c>
      <c r="G25" t="s">
        <v>438</v>
      </c>
      <c r="H25" t="s">
        <v>2</v>
      </c>
      <c r="I25" t="s">
        <v>576</v>
      </c>
      <c r="J25" t="s">
        <v>2</v>
      </c>
      <c r="K25" t="s">
        <v>463</v>
      </c>
      <c r="L25" t="s">
        <v>439</v>
      </c>
      <c r="M25" t="s">
        <v>439</v>
      </c>
      <c r="N25" t="s">
        <v>578</v>
      </c>
      <c r="O25" t="s">
        <v>2</v>
      </c>
    </row>
    <row r="26" spans="1:15" x14ac:dyDescent="0.25">
      <c r="A26" t="s">
        <v>710</v>
      </c>
      <c r="B26" t="s">
        <v>462</v>
      </c>
      <c r="C26" t="s">
        <v>2</v>
      </c>
      <c r="E26" t="s">
        <v>2</v>
      </c>
      <c r="F26" t="s">
        <v>2</v>
      </c>
      <c r="G26" t="s">
        <v>2</v>
      </c>
      <c r="H26" t="s">
        <v>2</v>
      </c>
      <c r="I26" t="s">
        <v>444</v>
      </c>
      <c r="J26" t="s">
        <v>2</v>
      </c>
      <c r="K26" t="s">
        <v>463</v>
      </c>
      <c r="L26" t="s">
        <v>450</v>
      </c>
      <c r="M26" t="s">
        <v>2</v>
      </c>
      <c r="N26" t="s">
        <v>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43F0A-53D9-4D6E-BDC9-1D7FE61D5D47}">
  <dimension ref="A1:D3"/>
  <sheetViews>
    <sheetView workbookViewId="0">
      <selection activeCell="N11" sqref="N11"/>
    </sheetView>
  </sheetViews>
  <sheetFormatPr defaultRowHeight="15" x14ac:dyDescent="0.25"/>
  <cols>
    <col min="1" max="1" width="12.140625" bestFit="1" customWidth="1"/>
    <col min="2" max="2" width="21.140625" bestFit="1" customWidth="1"/>
    <col min="3" max="3" width="28.85546875" bestFit="1" customWidth="1"/>
    <col min="4" max="4" width="16" bestFit="1" customWidth="1"/>
  </cols>
  <sheetData>
    <row r="1" spans="1:4" x14ac:dyDescent="0.25">
      <c r="A1" t="s">
        <v>60</v>
      </c>
      <c r="B1" t="s">
        <v>573</v>
      </c>
      <c r="C1" t="s">
        <v>66</v>
      </c>
      <c r="D1" t="s">
        <v>424</v>
      </c>
    </row>
    <row r="2" spans="1:4" x14ac:dyDescent="0.25">
      <c r="A2" t="s">
        <v>574</v>
      </c>
      <c r="C2" t="s">
        <v>577</v>
      </c>
      <c r="D2" t="s">
        <v>575</v>
      </c>
    </row>
    <row r="3" spans="1:4" x14ac:dyDescent="0.25">
      <c r="A3" t="s">
        <v>579</v>
      </c>
      <c r="C3" t="s">
        <v>581</v>
      </c>
      <c r="D3" t="s">
        <v>580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ReetrakAdmin</vt:lpstr>
      <vt:lpstr>LoginPage</vt:lpstr>
      <vt:lpstr>CompanyMaster</vt:lpstr>
      <vt:lpstr>PlantMaster</vt:lpstr>
      <vt:lpstr>RoleMaster</vt:lpstr>
      <vt:lpstr>UserMaster</vt:lpstr>
      <vt:lpstr>HierarchyMaster</vt:lpstr>
      <vt:lpstr>LineMaster</vt:lpstr>
      <vt:lpstr>SSCCPool</vt:lpstr>
      <vt:lpstr>SerialManager</vt:lpstr>
      <vt:lpstr>ProductMaster</vt:lpstr>
      <vt:lpstr>POMaster</vt:lpstr>
      <vt:lpstr>ManageDisposition</vt:lpstr>
      <vt:lpstr>ExportBatchStatus</vt:lpstr>
      <vt:lpstr>ExportBatchDetails</vt:lpstr>
      <vt:lpstr>ManageEvents</vt:lpstr>
      <vt:lpstr>RelationshipReport</vt:lpstr>
      <vt:lpstr>Deaggregation</vt:lpstr>
      <vt:lpstr>Reaggregation</vt:lpstr>
      <vt:lpstr>ExportAndDelete</vt:lpstr>
      <vt:lpstr>BatchRequest</vt:lpstr>
      <vt:lpstr>Inbox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Tushar Panchal</cp:lastModifiedBy>
  <dcterms:created xsi:type="dcterms:W3CDTF">2026-04-14T08:43:32Z</dcterms:created>
  <dcterms:modified xsi:type="dcterms:W3CDTF">2026-10-21T10:24:03Z</dcterms:modified>
</cp:coreProperties>
</file>